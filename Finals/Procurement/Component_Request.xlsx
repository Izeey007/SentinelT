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0a340c8c7343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quest" sheetId="1" r:id="R791dfb5da15d4d06"/>
    <x:sheet xmlns:r="http://schemas.openxmlformats.org/officeDocument/2006/relationships" name="Quotes needed" sheetId="2" r:id="R18c6269e805f4751"/>
    <x:sheet xmlns:r="http://schemas.openxmlformats.org/officeDocument/2006/relationships" name="Alternatives" sheetId="3" r:id="R49c0eecb97e94f27"/>
    <x:sheet xmlns:r="http://schemas.openxmlformats.org/officeDocument/2006/relationships" name="Elimination prices" sheetId="4" r:id="Re63ef5633c894e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R &quot;#,##0.00"/>
  </x:numFmts>
  <x:fonts count="6">
    <x:font>
      <x:sz val="11"/>
      <x:name val="Carlito"/>
    </x:font>
    <x:font>
      <x:sz val="10"/>
      <x:name val="Arial"/>
    </x:font>
    <x:font>
      <x:b/>
      <x:sz val="15"/>
      <x:color rgb="FF193955"/>
      <x:name val="Arial"/>
    </x:font>
    <x:font>
      <x:b/>
      <x:sz val="14"/>
      <x:color rgb="FFC00000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93955"/>
      </x:patternFill>
    </x:fill>
    <x:fill>
      <x:patternFill patternType="solid">
        <x:fgColor rgb="FFF1F5F8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200" fontId="5" fillId="3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3867bd8e724a88" /><Relationship Type="http://schemas.openxmlformats.org/officeDocument/2006/relationships/theme" Target="/xl/theme/theme1.xml" Id="Rc4cc91b6bc044ac9" /><Relationship Type="http://schemas.openxmlformats.org/officeDocument/2006/relationships/sharedStrings" Target="/xl/sharedStrings.xml" Id="Rf23603bb4fce4992" /><Relationship Type="http://schemas.openxmlformats.org/officeDocument/2006/relationships/worksheet" Target="/xl/worksheets/sheet1.xml" Id="R791dfb5da15d4d06" /><Relationship Type="http://schemas.openxmlformats.org/officeDocument/2006/relationships/worksheet" Target="/xl/worksheets/sheet2.xml" Id="R18c6269e805f4751" /><Relationship Type="http://schemas.openxmlformats.org/officeDocument/2006/relationships/worksheet" Target="/xl/worksheets/sheet3.xml" Id="R49c0eecb97e94f27" /><Relationship Type="http://schemas.openxmlformats.org/officeDocument/2006/relationships/worksheet" Target="/xl/worksheets/sheet4.xml" Id="Re63ef5633c894e6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9" hidden="0" customWidth="1"/>
    <x:col min="2" max="2" width="43" hidden="0" customWidth="1"/>
    <x:col min="3" max="3" width="8" hidden="0" customWidth="1"/>
    <x:col min="4" max="4" width="15" hidden="0" customWidth="1"/>
    <x:col min="5" max="5" width="17" hidden="0" customWidth="1"/>
    <x:col min="6" max="6" width="24" hidden="0" customWidth="1"/>
    <x:col min="7" max="7" width="31" hidden="0" customWidth="1"/>
    <x:col min="8" max="8" width="60" hidden="0" customWidth="1"/>
    <x:col min="9" max="9" width="21" hidden="0" customWidth="1"/>
    <x:col min="10" max="10" width="30" hidden="0" customWidth="1"/>
    <x:col min="11" max="11" width="30" hidden="0" customWidth="1"/>
    <x:col min="12" max="12" width="67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0" customHeight="1">
      <x:c r="A2" s="3" t="str">
        <x:v>SentinelT finals component request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2" t="str">
        <x:v>TG Assegaai, individual entry. Final: 17 October 2026. Review: 21 September 2026. Nothing owned or purchased.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A4" s="2" t="str">
        <x:v>Priced subtotal (ZAR)</x:v>
      </x:c>
      <x:c r="B4" s="2"/>
      <x:c r="C4" s="2"/>
      <x:c r="D4" s="2"/>
      <x:c r="E4" s="5" t="n">
        <x:f>SUM(E9:E41)</x:f>
        <x:v>11370.840000000002</x:v>
      </x:c>
      <x:c r="F4" s="2" t="str">
        <x:v>Excludes unquoted completion items and delivery</x:v>
      </x:c>
      <x:c r="G4" s="2"/>
      <x:c r="H4" s="2"/>
      <x:c r="I4" s="2"/>
      <x:c r="J4" s="2"/>
      <x:c r="K4" s="2"/>
      <x:c r="L4" s="2"/>
    </x:row>
    <x:row r="5">
      <x:c r="A5" s="2" t="str">
        <x:v>Full build total</x:v>
      </x:c>
      <x:c r="B5" s="2"/>
      <x:c r="C5" s="2"/>
      <x:c r="D5" s="2"/>
      <x:c r="E5" s="2" t="str">
        <x:v>AWAITING QUOTES</x:v>
      </x:c>
      <x:c r="F5" s="2"/>
      <x:c r="G5" s="2"/>
      <x:c r="H5" s="2"/>
      <x:c r="I5" s="2"/>
      <x:c r="J5" s="2"/>
      <x:c r="K5" s="2"/>
      <x:c r="L5" s="2"/>
    </x:row>
    <x:row r="6">
      <x:c r="A6" s="2" t="str">
        <x:v>Listed prices are not reserved stock or completed suitability checks. Some prices are retained from the submitted BOM. See each row.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>
      <x:c r="A7" s="2" t="str">
        <x:v>Purchase the matched FlySky bundle, not the removed Boxer/ER4 package. Alternatives are excluded from this subtotal.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32" customHeight="1">
      <x:c r="A8" s="8" t="str">
        <x:v>ID</x:v>
      </x:c>
      <x:c r="B8" s="8" t="str">
        <x:v>Required component</x:v>
      </x:c>
      <x:c r="C8" s="8" t="str">
        <x:v>Qty</x:v>
      </x:c>
      <x:c r="D8" s="8" t="str">
        <x:v>Unit price R</x:v>
      </x:c>
      <x:c r="E8" s="8" t="str">
        <x:v>Line total R</x:v>
      </x:c>
      <x:c r="F8" s="8" t="str">
        <x:v>Supplier</x:v>
      </x:c>
      <x:c r="G8" s="8" t="str">
        <x:v>Stock code / model</x:v>
      </x:c>
      <x:c r="H8" s="8" t="str">
        <x:v>Product / source link</x:v>
      </x:c>
      <x:c r="I8" s="8" t="str">
        <x:v>Priority</x:v>
      </x:c>
      <x:c r="J8" s="8" t="str">
        <x:v>Price basis</x:v>
      </x:c>
      <x:c r="K8" s="8" t="str">
        <x:v>Stock observation</x:v>
      </x:c>
      <x:c r="L8" s="8" t="str">
        <x:v>Action before purchase</x:v>
      </x:c>
    </x:row>
    <x:row r="9" ht="65" customHeight="1">
      <x:c r="A9" s="10" t="str">
        <x:v>B01</x:v>
      </x:c>
      <x:c r="B9" s="10" t="str">
        <x:v>HDPE Sheet 6mm 2000x1000mm</x:v>
      </x:c>
      <x:c r="C9" s="13" t="n">
        <x:v>1</x:v>
      </x:c>
      <x:c r="D9" s="14" t="n">
        <x:v>1943.5</x:v>
      </x:c>
      <x:c r="E9" s="11" t="n">
        <x:f>ROUND(C9*D9,2)</x:f>
        <x:v>1943.5</x:v>
      </x:c>
      <x:c r="F9" s="10" t="str">
        <x:v>Plastic World</x:v>
      </x:c>
      <x:c r="G9" s="10" t="str">
        <x:v>HDPNAT06,0X20001000</x:v>
      </x:c>
      <x:c r="H9" s="10" t="str">
        <x:v>https://plasticworld.co.za/shop/hdpe-sheet-6mm/</x:v>
      </x:c>
      <x:c r="I9" s="10" t="str">
        <x:v>P1 Essential</x:v>
      </x:c>
      <x:c r="J9" s="10" t="str">
        <x:v>Submitted price; refresh needed</x:v>
      </x:c>
      <x:c r="K9" s="10" t="str">
        <x:v>Not rechecked</x:v>
      </x:c>
      <x:c r="L9" s="10" t="str">
        <x:v>Confirm exact part, quantity and delivery before ordering.</x:v>
      </x:c>
    </x:row>
    <x:row r="10" ht="65" customHeight="1">
      <x:c r="A10" s="9" t="str">
        <x:v>B02</x:v>
      </x:c>
      <x:c r="B10" s="9" t="str">
        <x:v>Mild Steel Flat Bar 60x6mm x6m</x:v>
      </x:c>
      <x:c r="C10" s="15" t="n">
        <x:v>1</x:v>
      </x:c>
      <x:c r="D10" s="16" t="n">
        <x:v>393.14</x:v>
      </x:c>
      <x:c r="E10" s="12" t="n">
        <x:f>ROUND(C10*D10,2)</x:f>
        <x:v>393.14</x:v>
      </x:c>
      <x:c r="F10" s="9" t="str">
        <x:v>BUCO / Macsteel</x:v>
      </x:c>
      <x:c r="G10" s="9" t="str">
        <x:v>1074220</x:v>
      </x:c>
      <x:c r="H10" s="9" t="str">
        <x:v>https://www.buco.co.za/flat-bar-mild-steel-60x6-0mm-6-0m-1074220</x:v>
      </x:c>
      <x:c r="I10" s="9" t="str">
        <x:v>P2 Design hold</x:v>
      </x:c>
      <x:c r="J10" s="9" t="str">
        <x:v>Submitted price; refresh needed</x:v>
      </x:c>
      <x:c r="K10" s="9" t="str">
        <x:v>Not rechecked</x:v>
      </x:c>
      <x:c r="L10" s="9" t="str">
        <x:v>Buy cut lengths after cut list approval, not automatically a full 6 m bar.</x:v>
      </x:c>
    </x:row>
    <x:row r="11" ht="65" customHeight="1">
      <x:c r="A11" s="10" t="str">
        <x:v>B03</x:v>
      </x:c>
      <x:c r="B11" s="10" t="str">
        <x:v>Mild Steel Flat Bar 20x3mm x6m</x:v>
      </x:c>
      <x:c r="C11" s="13" t="n">
        <x:v>1</x:v>
      </x:c>
      <x:c r="D11" s="14" t="n">
        <x:v>72.99</x:v>
      </x:c>
      <x:c r="E11" s="11" t="n">
        <x:f>ROUND(C11*D11,2)</x:f>
        <x:v>72.99</x:v>
      </x:c>
      <x:c r="F11" s="10" t="str">
        <x:v>BUCO</x:v>
      </x:c>
      <x:c r="G11" s="10" t="str">
        <x:v>1074215</x:v>
      </x:c>
      <x:c r="H11" s="10" t="str">
        <x:v>https://www.buco.co.za/flat-bar-mild-steel-20x3-0mm-x-6-0m-1074215</x:v>
      </x:c>
      <x:c r="I11" s="10" t="str">
        <x:v>P2 Design hold</x:v>
      </x:c>
      <x:c r="J11" s="10" t="str">
        <x:v>Submitted price; refresh needed</x:v>
      </x:c>
      <x:c r="K11" s="10" t="str">
        <x:v>Not rechecked</x:v>
      </x:c>
      <x:c r="L11" s="10" t="str">
        <x:v>Buy cut lengths after cut list approval.</x:v>
      </x:c>
    </x:row>
    <x:row r="12" ht="65" customHeight="1">
      <x:c r="A12" s="9" t="str">
        <x:v>B04</x:v>
      </x:c>
      <x:c r="B12" s="9" t="str">
        <x:v>12V 160RPM 37mm Spur Gearmotor</x:v>
      </x:c>
      <x:c r="C12" s="15" t="n">
        <x:v>4</x:v>
      </x:c>
      <x:c r="D12" s="16" t="n">
        <x:v>182.85</x:v>
      </x:c>
      <x:c r="E12" s="12" t="n">
        <x:f>ROUND(C12*D12,2)</x:f>
        <x:v>731.4</x:v>
      </x:c>
      <x:c r="F12" s="9" t="str">
        <x:v>Micro Robotics</x:v>
      </x:c>
      <x:c r="G12" s="9" t="str">
        <x:v>GB37-500-160-12V</x:v>
      </x:c>
      <x:c r="H12" s="9" t="str">
        <x:v>https://www.robotics.org.za/GB37-500-160-12V</x:v>
      </x:c>
      <x:c r="I12" s="9" t="str">
        <x:v>P1 Essential</x:v>
      </x:c>
      <x:c r="J12" s="9" t="str">
        <x:v>Listed price checked 2026-09-21</x:v>
      </x:c>
      <x:c r="K12" s="9" t="str">
        <x:v>In stock, Centurion</x:v>
      </x:c>
      <x:c r="L12" s="9" t="str">
        <x:v>Confirm torque, shaft loading and four-motor fit.</x:v>
      </x:c>
    </x:row>
    <x:row r="13" ht="65" customHeight="1">
      <x:c r="A13" s="10" t="str">
        <x:v>B05</x:v>
      </x:c>
      <x:c r="B13" s="10" t="str">
        <x:v>37mm Gearmotor Mount</x:v>
      </x:c>
      <x:c r="C13" s="13" t="n">
        <x:v>4</x:v>
      </x:c>
      <x:c r="D13" s="14" t="n">
        <x:v>44.85</x:v>
      </x:c>
      <x:c r="E13" s="11" t="n">
        <x:f>ROUND(C13*D13,2)</x:f>
        <x:v>179.4</x:v>
      </x:c>
      <x:c r="F13" s="10" t="str">
        <x:v>Micro Robotics</x:v>
      </x:c>
      <x:c r="G13" s="10" t="str">
        <x:v>LIY-BRA37</x:v>
      </x:c>
      <x:c r="H13" s="10" t="str">
        <x:v>https://www.robotics.org.za/LIY-BRA37</x:v>
      </x:c>
      <x:c r="I13" s="10" t="str">
        <x:v>P1 Essential</x:v>
      </x:c>
      <x:c r="J13" s="10" t="str">
        <x:v>Listed price checked 2026-09-21</x:v>
      </x:c>
      <x:c r="K13" s="10" t="str">
        <x:v>In stock, both branches</x:v>
      </x:c>
      <x:c r="L13" s="10" t="str">
        <x:v>Supplier material/weight descriptions conflict; weigh bracket and confirm mounting screws.</x:v>
      </x:c>
    </x:row>
    <x:row r="14" ht="65" customHeight="1">
      <x:c r="A14" s="9" t="str">
        <x:v>B06</x:v>
      </x:c>
      <x:c r="B14" s="9" t="str">
        <x:v>125mm All-Terrain Wheels pack of 2</x:v>
      </x:c>
      <x:c r="C14" s="15" t="n">
        <x:v>2</x:v>
      </x:c>
      <x:c r="D14" s="16" t="n">
        <x:v>239</x:v>
      </x:c>
      <x:c r="E14" s="12" t="n">
        <x:f>ROUND(C14*D14,2)</x:f>
        <x:v>478</x:v>
      </x:c>
      <x:c r="F14" s="9" t="str">
        <x:v>Communica</x:v>
      </x:c>
      <x:c r="G14" s="9" t="str">
        <x:v>BMT WHEELS X2 ALL TERRAIN CHROME</x:v>
      </x:c>
      <x:c r="H14" s="9" t="str">
        <x:v>https://www.communica.co.za/products/bmt-wheels-x2-all-terrain-chrome</x:v>
      </x:c>
      <x:c r="I14" s="9" t="str">
        <x:v>P1 Essential</x:v>
      </x:c>
      <x:c r="J14" s="9" t="str">
        <x:v>Submitted price; refresh needed</x:v>
      </x:c>
      <x:c r="K14" s="9" t="str">
        <x:v>Sold out</x:v>
      </x:c>
      <x:c r="L14" s="9" t="str">
        <x:v>Find exact 6 mm shaft-compatible wheel set with confirmed dimensions/mass. Re-audit CAD for replacement. Submitted price only; do not order this unavailable listing.</x:v>
      </x:c>
    </x:row>
    <x:row r="15" ht="65" customHeight="1">
      <x:c r="A15" s="10" t="str">
        <x:v>B07</x:v>
      </x:c>
      <x:c r="B15" s="10" t="str">
        <x:v>Cytron Dual Motor Driver 20A 6-30V</x:v>
      </x:c>
      <x:c r="C15" s="13" t="n">
        <x:v>1</x:v>
      </x:c>
      <x:c r="D15" s="14" t="n">
        <x:v>779.7</x:v>
      </x:c>
      <x:c r="E15" s="11" t="n">
        <x:f>ROUND(C15*D15,2)</x:f>
        <x:v>779.7</x:v>
      </x:c>
      <x:c r="F15" s="10" t="str">
        <x:v>Micro Robotics</x:v>
      </x:c>
      <x:c r="G15" s="10" t="str">
        <x:v>MDD20A</x:v>
      </x:c>
      <x:c r="H15" s="10" t="str">
        <x:v>https://www.robotics.org.za/MDD20A</x:v>
      </x:c>
      <x:c r="I15" s="10" t="str">
        <x:v>P1 Essential</x:v>
      </x:c>
      <x:c r="J15" s="10" t="str">
        <x:v>Listed price checked 2026-09-21</x:v>
      </x:c>
      <x:c r="K15" s="10" t="str">
        <x:v>No stock</x:v>
      </x:c>
      <x:c r="L15" s="10" t="str">
        <x:v>Get lead time or approve alternative after motor-current review.</x:v>
      </x:c>
    </x:row>
    <x:row r="16" ht="65" customHeight="1">
      <x:c r="A16" s="9" t="str">
        <x:v>B08</x:v>
      </x:c>
      <x:c r="B16" s="9" t="str">
        <x:v>3S 11.1V 5000mAh LiPo Battery XT60</x:v>
      </x:c>
      <x:c r="C16" s="15" t="n">
        <x:v>1</x:v>
      </x:c>
      <x:c r="D16" s="16" t="n">
        <x:v>950</x:v>
      </x:c>
      <x:c r="E16" s="12" t="n">
        <x:f>ROUND(C16*D16,2)</x:f>
        <x:v>950</x:v>
      </x:c>
      <x:c r="F16" s="9" t="str">
        <x:v>Scale RC</x:v>
      </x:c>
      <x:c r="G16" s="9" t="str">
        <x:v>BEAT-LIPO-5000-3S</x:v>
      </x:c>
      <x:c r="H16" s="9" t="str">
        <x:v>https://scalerc.co.za/products/beat-lipo-5000mah-11-1v-3s-100c-lipo-battery-xt60-connector</x:v>
      </x:c>
      <x:c r="I16" s="9" t="str">
        <x:v>P1 Essential</x:v>
      </x:c>
      <x:c r="J16" s="9" t="str">
        <x:v>Listed price checked 2026-09-21</x:v>
      </x:c>
      <x:c r="K16" s="9" t="str">
        <x:v>Listed available; confirm order quantity</x:v>
      </x:c>
      <x:c r="L16" s="9" t="str">
        <x:v>Confirm delivery, mass, pack dimensions and charger/connector compatibility.</x:v>
      </x:c>
    </x:row>
    <x:row r="17" ht="65" customHeight="1">
      <x:c r="A17" s="10" t="str">
        <x:v>B09</x:v>
      </x:c>
      <x:c r="B17" s="10" t="str">
        <x:v>FlySky FS-i6X + iA6B receiver set, 2.4 GHz</x:v>
      </x:c>
      <x:c r="C17" s="13" t="n">
        <x:v>1</x:v>
      </x:c>
      <x:c r="D17" s="14" t="n">
        <x:v>1600</x:v>
      </x:c>
      <x:c r="E17" s="11" t="n">
        <x:f>ROUND(C17*D17,2)</x:f>
        <x:v>1600</x:v>
      </x:c>
      <x:c r="F17" s="10" t="str">
        <x:v>Scale RC</x:v>
      </x:c>
      <x:c r="G17" s="10" t="str">
        <x:v>FS-i6X / iA6B (supplier SKU not published)</x:v>
      </x:c>
      <x:c r="H17" s="10" t="str">
        <x:v>https://scalerc.co.za/products/flysky-fs-i6x-transmitter-with-ia6b-receiver</x:v>
      </x:c>
      <x:c r="I17" s="10" t="str">
        <x:v>P1 Essential</x:v>
      </x:c>
      <x:c r="J17" s="10" t="str">
        <x:v>Listed price checked 2026-09-21</x:v>
      </x:c>
      <x:c r="K17" s="10" t="str">
        <x:v>Orderable on page; confirm delivery</x:v>
      </x:c>
      <x:c r="L17" s="10" t="str">
        <x:v>Proposed replacement for B09-B11 RadioMaster package. Ready-made radio; add 4 AA cells. Configure receiver, channel map and failsafe. Do not also buy ER4/Boxer battery.</x:v>
      </x:c>
    </x:row>
    <x:row r="18" ht="65" customHeight="1">
      <x:c r="A18" s="9" t="str">
        <x:v>B12</x:v>
      </x:c>
      <x:c r="B18" s="9" t="str">
        <x:v>Raspberry Pi Pico W (RP2040)</x:v>
      </x:c>
      <x:c r="C18" s="15" t="n">
        <x:v>1</x:v>
      </x:c>
      <x:c r="D18" s="16" t="n">
        <x:v>163.3</x:v>
      </x:c>
      <x:c r="E18" s="12" t="n">
        <x:f>ROUND(C18*D18,2)</x:f>
        <x:v>163.3</x:v>
      </x:c>
      <x:c r="F18" s="9" t="str">
        <x:v>Communica</x:v>
      </x:c>
      <x:c r="G18" s="9" t="str">
        <x:v>RASPBERRY PI PICO W</x:v>
      </x:c>
      <x:c r="H18" s="9" t="str">
        <x:v>https://www.communica.co.za/products/raspberry-pi-pico-w</x:v>
      </x:c>
      <x:c r="I18" s="9" t="str">
        <x:v>P1 Essential</x:v>
      </x:c>
      <x:c r="J18" s="9" t="str">
        <x:v>Listed price checked 2026-09-21</x:v>
      </x:c>
      <x:c r="K18" s="9" t="str">
        <x:v>Listed in stock</x:v>
      </x:c>
      <x:c r="L18" s="9" t="str">
        <x:v>Proposed replacement for unavailable Pico 2W. Firmware target changes to RP2040; verify 3.3 V signal levels. Wi-Fi is not the RC control link.</x:v>
      </x:c>
    </x:row>
    <x:row r="19" ht="65" customHeight="1">
      <x:c r="A19" s="10" t="str">
        <x:v>B13</x:v>
      </x:c>
      <x:c r="B19" s="10" t="str">
        <x:v>Waveshare ST3215 Serial Bus Servo 30kg.cm</x:v>
      </x:c>
      <x:c r="C19" s="13" t="n">
        <x:v>3</x:v>
      </x:c>
      <x:c r="D19" s="14" t="n">
        <x:v>539.35</x:v>
      </x:c>
      <x:c r="E19" s="11" t="n">
        <x:f>ROUND(C19*D19,2)</x:f>
        <x:v>1618.05</x:v>
      </x:c>
      <x:c r="F19" s="10" t="str">
        <x:v>Micro Robotics</x:v>
      </x:c>
      <x:c r="G19" s="10" t="str">
        <x:v>W22414</x:v>
      </x:c>
      <x:c r="H19" s="10" t="str">
        <x:v>https://www.robotics.org.za/W22414</x:v>
      </x:c>
      <x:c r="I19" s="10" t="str">
        <x:v>P2 Design hold</x:v>
      </x:c>
      <x:c r="J19" s="10" t="str">
        <x:v>Listed price checked 2026-09-21</x:v>
      </x:c>
      <x:c r="K19" s="10" t="str">
        <x:v>No stock</x:v>
      </x:c>
      <x:c r="L19" s="10" t="str">
        <x:v>Bus servo, not standard PWM. Load and mounting review required.</x:v>
      </x:c>
    </x:row>
    <x:row r="20" ht="65" customHeight="1">
      <x:c r="A20" s="9" t="str">
        <x:v>B14</x:v>
      </x:c>
      <x:c r="B20" s="9" t="str">
        <x:v>Waveshare ST/SC Serial Bus Servo Driver</x:v>
      </x:c>
      <x:c r="C20" s="15" t="n">
        <x:v>1</x:v>
      </x:c>
      <x:c r="D20" s="16" t="n">
        <x:v>102.35</x:v>
      </x:c>
      <x:c r="E20" s="12" t="n">
        <x:f>ROUND(C20*D20,2)</x:f>
        <x:v>102.35</x:v>
      </x:c>
      <x:c r="F20" s="9" t="str">
        <x:v>Micro Robotics</x:v>
      </x:c>
      <x:c r="G20" s="9" t="str">
        <x:v>W25514</x:v>
      </x:c>
      <x:c r="H20" s="9" t="str">
        <x:v>https://www.robotics.org.za/motors-controllers/W25514</x:v>
      </x:c>
      <x:c r="I20" s="9" t="str">
        <x:v>P2 Design hold</x:v>
      </x:c>
      <x:c r="J20" s="9" t="str">
        <x:v>Listed price checked 2026-09-21</x:v>
      </x:c>
      <x:c r="K20" s="9" t="str">
        <x:v>Out of stock indicated</x:v>
      </x:c>
      <x:c r="L20" s="9" t="str">
        <x:v>Verify half-duplex UART interface, 3.3 V compatibility and connector current.</x:v>
      </x:c>
    </x:row>
    <x:row r="21" ht="65" customHeight="1">
      <x:c r="A21" s="10" t="str">
        <x:v>B15</x:v>
      </x:c>
      <x:c r="B21" s="10" t="str">
        <x:v>Servo Wire Extension Kit 4 leads</x:v>
      </x:c>
      <x:c r="C21" s="13" t="n">
        <x:v>2</x:v>
      </x:c>
      <x:c r="D21" s="14" t="n">
        <x:v>20.7</x:v>
      </x:c>
      <x:c r="E21" s="11" t="n">
        <x:f>ROUND(C21*D21,2)</x:f>
        <x:v>41.4</x:v>
      </x:c>
      <x:c r="F21" s="10" t="str">
        <x:v>Micro Robotics</x:v>
      </x:c>
      <x:c r="G21" s="10" t="str">
        <x:v>SERVO-KIT</x:v>
      </x:c>
      <x:c r="H21" s="10" t="str">
        <x:v>https://www.robotics.org.za/SERVO-KIT</x:v>
      </x:c>
      <x:c r="I21" s="10" t="str">
        <x:v>P2 Design hold</x:v>
      </x:c>
      <x:c r="J21" s="10" t="str">
        <x:v>Submitted price; refresh needed</x:v>
      </x:c>
      <x:c r="K21" s="10" t="str">
        <x:v>Not rechecked</x:v>
      </x:c>
      <x:c r="L21" s="10" t="str">
        <x:v>Confirm exact part, quantity and delivery before ordering.</x:v>
      </x:c>
    </x:row>
    <x:row r="22" ht="65" customHeight="1">
      <x:c r="A22" s="9" t="str">
        <x:v>B16</x:v>
      </x:c>
      <x:c r="B22" s="9" t="str">
        <x:v>12V 4100RPM 775 Brushed DC Motor 5mm shaft</x:v>
      </x:c>
      <x:c r="C22" s="15" t="n">
        <x:v>1</x:v>
      </x:c>
      <x:c r="D22" s="16" t="n">
        <x:v>331.35</x:v>
      </x:c>
      <x:c r="E22" s="12" t="n">
        <x:f>ROUND(C22*D22,2)</x:f>
        <x:v>331.35</x:v>
      </x:c>
      <x:c r="F22" s="9" t="str">
        <x:v>Mantech</x:v>
      </x:c>
      <x:c r="G22" s="9" t="str">
        <x:v>ME101116 / CHR-S775</x:v>
      </x:c>
      <x:c r="H22" s="9" t="str">
        <x:v>https://www.mantech.co.za/ProductInfo.aspx?Item=ME101116</x:v>
      </x:c>
      <x:c r="I22" s="9" t="str">
        <x:v>P2 Design hold</x:v>
      </x:c>
      <x:c r="J22" s="9" t="str">
        <x:v>Submitted price; refresh needed</x:v>
      </x:c>
      <x:c r="K22" s="9" t="str">
        <x:v>Not rechecked</x:v>
      </x:c>
      <x:c r="L22" s="9" t="str">
        <x:v>Candidate only. Mechanism loads, support, retention and power/current ratings unresolved.</x:v>
      </x:c>
    </x:row>
    <x:row r="23" ht="65" customHeight="1">
      <x:c r="A23" s="10" t="str">
        <x:v>B17</x:v>
      </x:c>
      <x:c r="B23" s="10" t="str">
        <x:v>BTS7960 43A H-Bridge Motor Driver</x:v>
      </x:c>
      <x:c r="C23" s="13" t="n">
        <x:v>1</x:v>
      </x:c>
      <x:c r="D23" s="14" t="n">
        <x:v>102.35</x:v>
      </x:c>
      <x:c r="E23" s="11" t="n">
        <x:f>ROUND(C23*D23,2)</x:f>
        <x:v>102.35</x:v>
      </x:c>
      <x:c r="F23" s="10" t="str">
        <x:v>Micro Robotics</x:v>
      </x:c>
      <x:c r="G23" s="10" t="str">
        <x:v>BTS7960</x:v>
      </x:c>
      <x:c r="H23" s="10" t="str">
        <x:v>https://www.robotics.org.za/BTS7960</x:v>
      </x:c>
      <x:c r="I23" s="10" t="str">
        <x:v>P2 Design hold</x:v>
      </x:c>
      <x:c r="J23" s="10" t="str">
        <x:v>Submitted price; refresh needed</x:v>
      </x:c>
      <x:c r="K23" s="10" t="str">
        <x:v>Not rechecked</x:v>
      </x:c>
      <x:c r="L23" s="10" t="str">
        <x:v>43 A label is not a verified continuous module rating or thermal result.</x:v>
      </x:c>
    </x:row>
    <x:row r="24" ht="65" customHeight="1">
      <x:c r="A24" s="9" t="str">
        <x:v>B18</x:v>
      </x:c>
      <x:c r="B24" s="9" t="str">
        <x:v>625ZZ Bearings 5x16x5mm pack of 4</x:v>
      </x:c>
      <x:c r="C24" s="15" t="n">
        <x:v>1</x:v>
      </x:c>
      <x:c r="D24" s="16" t="n">
        <x:v>25.3</x:v>
      </x:c>
      <x:c r="E24" s="12" t="n">
        <x:f>ROUND(C24*D24,2)</x:f>
        <x:v>25.3</x:v>
      </x:c>
      <x:c r="F24" s="9" t="str">
        <x:v>Micro Robotics</x:v>
      </x:c>
      <x:c r="G24" s="9" t="str">
        <x:v>625ZZ</x:v>
      </x:c>
      <x:c r="H24" s="9" t="str">
        <x:v>https://www.robotics.org.za/625ZZ</x:v>
      </x:c>
      <x:c r="I24" s="9" t="str">
        <x:v>P2 Design hold</x:v>
      </x:c>
      <x:c r="J24" s="9" t="str">
        <x:v>Submitted price; refresh needed</x:v>
      </x:c>
      <x:c r="K24" s="9" t="str">
        <x:v>Not rechecked</x:v>
      </x:c>
      <x:c r="L24" s="9" t="str">
        <x:v>5 mm bearing bore must match final supported shaft.</x:v>
      </x:c>
    </x:row>
    <x:row r="25" ht="65" customHeight="1">
      <x:c r="A25" s="10" t="str">
        <x:v>B19</x:v>
      </x:c>
      <x:c r="B25" s="10" t="str">
        <x:v>6mm Shaft Collar pack of 2</x:v>
      </x:c>
      <x:c r="C25" s="13" t="n">
        <x:v>2</x:v>
      </x:c>
      <x:c r="D25" s="14" t="n">
        <x:v>51.75</x:v>
      </x:c>
      <x:c r="E25" s="11" t="n">
        <x:f>ROUND(C25*D25,2)</x:f>
        <x:v>103.5</x:v>
      </x:c>
      <x:c r="F25" s="10" t="str">
        <x:v>Micro Robotics</x:v>
      </x:c>
      <x:c r="G25" s="10" t="str">
        <x:v>LM-SC006</x:v>
      </x:c>
      <x:c r="H25" s="10" t="str">
        <x:v>https://www.robotics.org.za/LM-SC006</x:v>
      </x:c>
      <x:c r="I25" s="10" t="str">
        <x:v>P2 Design hold</x:v>
      </x:c>
      <x:c r="J25" s="10" t="str">
        <x:v>Submitted price; refresh needed</x:v>
      </x:c>
      <x:c r="K25" s="10" t="str">
        <x:v>Not rechecked</x:v>
      </x:c>
      <x:c r="L25" s="10" t="str">
        <x:v>6 mm collars do not fit a 5 mm cutter shaft; assign them to correct shaft or change selection.</x:v>
      </x:c>
    </x:row>
    <x:row r="26" ht="65" customHeight="1">
      <x:c r="A26" s="9" t="str">
        <x:v>B20</x:v>
      </x:c>
      <x:c r="B26" s="9" t="str">
        <x:v>Battery Isolator Switch 12V 100A</x:v>
      </x:c>
      <x:c r="C26" s="15" t="n">
        <x:v>1</x:v>
      </x:c>
      <x:c r="D26" s="16" t="n">
        <x:v>120.7</x:v>
      </x:c>
      <x:c r="E26" s="12" t="n">
        <x:f>ROUND(C26*D26,2)</x:f>
        <x:v>120.7</x:v>
      </x:c>
      <x:c r="F26" s="9" t="str">
        <x:v>AutoMarine</x:v>
      </x:c>
      <x:c r="G26" s="9" t="str">
        <x:v>SW101</x:v>
      </x:c>
      <x:c r="H26" s="9" t="str">
        <x:v>https://www.automarine.co.za/battery-isolator-switches/5545-battery-isolator-switch-12-volt-100-amp.html</x:v>
      </x:c>
      <x:c r="I26" s="9" t="str">
        <x:v>P1 Essential</x:v>
      </x:c>
      <x:c r="J26" s="9" t="str">
        <x:v>Submitted price; refresh needed</x:v>
      </x:c>
      <x:c r="K26" s="9" t="str">
        <x:v>Not rechecked</x:v>
      </x:c>
      <x:c r="L26" s="9" t="str">
        <x:v>Confirm DC interruption rating and accessible mounting.</x:v>
      </x:c>
    </x:row>
    <x:row r="27" ht="65" customHeight="1">
      <x:c r="A27" s="10" t="str">
        <x:v>B21</x:v>
      </x:c>
      <x:c r="B27" s="10" t="str">
        <x:v>Rotary-release emergency pushbutton, NO/NC contacts</x:v>
      </x:c>
      <x:c r="C27" s="13" t="n">
        <x:v>1</x:v>
      </x:c>
      <x:c r="D27" s="14" t="n">
        <x:v>322</x:v>
      </x:c>
      <x:c r="E27" s="11" t="n">
        <x:f>ROUND(C27*D27,2)</x:f>
        <x:v>322</x:v>
      </x:c>
      <x:c r="F27" s="10" t="str">
        <x:v>Communica</x:v>
      </x:c>
      <x:c r="G27" s="10" t="str">
        <x:v>PBME25TRP-L12-65</x:v>
      </x:c>
      <x:c r="H27" s="10" t="str">
        <x:v>https://www.communica.co.za/products/pbme25trp-l12-65</x:v>
      </x:c>
      <x:c r="I27" s="10" t="str">
        <x:v>P1 Essential</x:v>
      </x:c>
      <x:c r="J27" s="10" t="str">
        <x:v>Listed price checked 2026-09-21</x:v>
      </x:c>
      <x:c r="K27" s="10" t="str">
        <x:v>Listed in stock</x:v>
      </x:c>
      <x:c r="L27" s="10" t="str">
        <x:v>Proposed replacement for ambiguous FIT0156. Confirm maintained latch, NC terminals, contact rating and accessible mount. Low-current coil loop only.</x:v>
      </x:c>
    </x:row>
    <x:row r="28" ht="65" customHeight="1">
      <x:c r="A28" s="9" t="str">
        <x:v>B22</x:v>
      </x:c>
      <x:c r="B28" s="9" t="str">
        <x:v>12V 80A Power Relay / Contactor Candidate</x:v>
      </x:c>
      <x:c r="C28" s="15" t="n">
        <x:v>1</x:v>
      </x:c>
      <x:c r="D28" s="16" t="n">
        <x:v>102.52</x:v>
      </x:c>
      <x:c r="E28" s="12" t="n">
        <x:f>ROUND(C28*D28,2)</x:f>
        <x:v>102.52</x:v>
      </x:c>
      <x:c r="F28" s="9" t="str">
        <x:v>RS South Africa</x:v>
      </x:c>
      <x:c r="G28" s="9" t="str">
        <x:v>915-6679 / DG85C-7021-76-1012-R</x:v>
      </x:c>
      <x:c r="H28" s="9" t="str">
        <x:v>https://za.rs-online.com/web/p/power-relays/9156679</x:v>
      </x:c>
      <x:c r="I28" s="9" t="str">
        <x:v>P1 Essential</x:v>
      </x:c>
      <x:c r="J28" s="9" t="str">
        <x:v>Submitted price; refresh needed</x:v>
      </x:c>
      <x:c r="K28" s="9" t="str">
        <x:v>Not rechecked</x:v>
      </x:c>
      <x:c r="L28" s="9" t="str">
        <x:v>Automotive relay is a candidate, not an approved safety contactor; verify DC breaking, coil and reset circuit.</x:v>
      </x:c>
    </x:row>
    <x:row r="29" ht="65" customHeight="1">
      <x:c r="A29" s="10" t="str">
        <x:v>B23</x:v>
      </x:c>
      <x:c r="B29" s="10" t="str">
        <x:v>30A 32V Blade Fuse Holder</x:v>
      </x:c>
      <x:c r="C29" s="13" t="n">
        <x:v>1</x:v>
      </x:c>
      <x:c r="D29" s="14" t="n">
        <x:v>28.75</x:v>
      </x:c>
      <x:c r="E29" s="11" t="n">
        <x:f>ROUND(C29*D29,2)</x:f>
        <x:v>28.75</x:v>
      </x:c>
      <x:c r="F29" s="10" t="str">
        <x:v>Communica</x:v>
      </x:c>
      <x:c r="G29" s="10" t="str">
        <x:v>CQ211K MOD</x:v>
      </x:c>
      <x:c r="H29" s="10" t="str">
        <x:v>https://www.communica.co.za/products/cq211k-mod</x:v>
      </x:c>
      <x:c r="I29" s="10" t="str">
        <x:v>P1 Essential</x:v>
      </x:c>
      <x:c r="J29" s="10" t="str">
        <x:v>Listed price checked 2026-09-21</x:v>
      </x:c>
      <x:c r="K29" s="10" t="str">
        <x:v>Listed available; confirm order quantity</x:v>
      </x:c>
      <x:c r="L29" s="10" t="str">
        <x:v>One main holder does not provide all required branch protection.</x:v>
      </x:c>
    </x:row>
    <x:row r="30" ht="65" customHeight="1">
      <x:c r="A30" s="9" t="str">
        <x:v>B24</x:v>
      </x:c>
      <x:c r="B30" s="9" t="str">
        <x:v>30A 32V Blade Fuse</x:v>
      </x:c>
      <x:c r="C30" s="15" t="n">
        <x:v>3</x:v>
      </x:c>
      <x:c r="D30" s="16" t="n">
        <x:v>3.28</x:v>
      </x:c>
      <x:c r="E30" s="12" t="n">
        <x:f>ROUND(C30*D30,2)</x:f>
        <x:v>9.84</x:v>
      </x:c>
      <x:c r="F30" s="9" t="str">
        <x:v>Communica</x:v>
      </x:c>
      <x:c r="G30" s="9" t="str">
        <x:v>30A BLADE FUSE</x:v>
      </x:c>
      <x:c r="H30" s="9" t="str">
        <x:v>https://www.communica.co.za/products/30a-blade-fuse</x:v>
      </x:c>
      <x:c r="I30" s="9" t="str">
        <x:v>P1 Essential</x:v>
      </x:c>
      <x:c r="J30" s="9" t="str">
        <x:v>Listed price checked 2026-09-21</x:v>
      </x:c>
      <x:c r="K30" s="9" t="str">
        <x:v>Listed available; confirm order quantity</x:v>
      </x:c>
      <x:c r="L30" s="9" t="str">
        <x:v>30 A is provisional; coordinate fuse, holder, conductors and load current.</x:v>
      </x:c>
    </x:row>
    <x:row r="31" ht="65" customHeight="1">
      <x:c r="A31" s="10" t="str">
        <x:v>B25</x:v>
      </x:c>
      <x:c r="B31" s="10" t="str">
        <x:v>XT60 Connector Pair 60A</x:v>
      </x:c>
      <x:c r="C31" s="13" t="n">
        <x:v>3</x:v>
      </x:c>
      <x:c r="D31" s="14" t="n">
        <x:v>34.5</x:v>
      </x:c>
      <x:c r="E31" s="11" t="n">
        <x:f>ROUND(C31*D31,2)</x:f>
        <x:v>103.5</x:v>
      </x:c>
      <x:c r="F31" s="10" t="str">
        <x:v>Communica</x:v>
      </x:c>
      <x:c r="G31" s="10" t="str">
        <x:v>RC-XT60 CONNECTOR PAIR</x:v>
      </x:c>
      <x:c r="H31" s="10" t="str">
        <x:v>https://www.communica.co.za/products/rc-xt60-connector-pair</x:v>
      </x:c>
      <x:c r="I31" s="10" t="str">
        <x:v>P1 Essential</x:v>
      </x:c>
      <x:c r="J31" s="10" t="str">
        <x:v>Listed price checked 2026-09-21</x:v>
      </x:c>
      <x:c r="K31" s="10" t="str">
        <x:v>Listed available; confirm order quantity</x:v>
      </x:c>
      <x:c r="L31" s="10" t="str">
        <x:v>Confirm exact part, quantity and delivery before ordering.</x:v>
      </x:c>
    </x:row>
    <x:row r="32" ht="65" customHeight="1">
      <x:c r="A32" s="9" t="str">
        <x:v>B26</x:v>
      </x:c>
      <x:c r="B32" s="9" t="str">
        <x:v>XT60 Battery Connector Kit 12AWG 30cm</x:v>
      </x:c>
      <x:c r="C32" s="15" t="n">
        <x:v>2</x:v>
      </x:c>
      <x:c r="D32" s="16" t="n">
        <x:v>125.35</x:v>
      </x:c>
      <x:c r="E32" s="12" t="n">
        <x:f>ROUND(C32*D32,2)</x:f>
        <x:v>250.7</x:v>
      </x:c>
      <x:c r="F32" s="9" t="str">
        <x:v>Micro Robotics</x:v>
      </x:c>
      <x:c r="G32" s="9" t="str">
        <x:v>XT60-12AWG-30CM</x:v>
      </x:c>
      <x:c r="H32" s="9" t="str">
        <x:v>https://www.robotics.org.za/power-battery-solar/battery-connectors</x:v>
      </x:c>
      <x:c r="I32" s="9" t="str">
        <x:v>P1 Essential</x:v>
      </x:c>
      <x:c r="J32" s="9" t="str">
        <x:v>Submitted price; refresh needed</x:v>
      </x:c>
      <x:c r="K32" s="9" t="str">
        <x:v>Not rechecked</x:v>
      </x:c>
      <x:c r="L32" s="9" t="str">
        <x:v>Submitted link is a category, not a direct product. Exact SKU/quote needed.</x:v>
      </x:c>
    </x:row>
    <x:row r="33" ht="65" customHeight="1">
      <x:c r="A33" s="10" t="str">
        <x:v>B27</x:v>
      </x:c>
      <x:c r="B33" s="10" t="str">
        <x:v>Buck Regulator 6-24V to 5V 2A</x:v>
      </x:c>
      <x:c r="C33" s="13" t="n">
        <x:v>1</x:v>
      </x:c>
      <x:c r="D33" s="14" t="n">
        <x:v>55.2</x:v>
      </x:c>
      <x:c r="E33" s="11" t="n">
        <x:f>ROUND(C33*D33,2)</x:f>
        <x:v>55.2</x:v>
      </x:c>
      <x:c r="F33" s="10" t="str">
        <x:v>Micro Robotics</x:v>
      </x:c>
      <x:c r="G33" s="10" t="str">
        <x:v>CHR-624-2A</x:v>
      </x:c>
      <x:c r="H33" s="10" t="str">
        <x:v>https://www.robotics.org.za/CHR-624-2A</x:v>
      </x:c>
      <x:c r="I33" s="10" t="str">
        <x:v>P1 Essential</x:v>
      </x:c>
      <x:c r="J33" s="10" t="str">
        <x:v>Listed price checked 2026-09-21</x:v>
      </x:c>
      <x:c r="K33" s="10" t="str">
        <x:v>In stock, both branches</x:v>
      </x:c>
      <x:c r="L33" s="10" t="str">
        <x:v>Direct link corrected. USB-output regulator; confirm secure harness and voltage.</x:v>
      </x:c>
    </x:row>
    <x:row r="34" ht="65" customHeight="1">
      <x:c r="A34" s="9" t="str">
        <x:v>B28</x:v>
      </x:c>
      <x:c r="B34" s="9" t="str">
        <x:v>Heatshrink Kit Black &amp; Red 7mm</x:v>
      </x:c>
      <x:c r="C34" s="15" t="n">
        <x:v>1</x:v>
      </x:c>
      <x:c r="D34" s="16" t="n">
        <x:v>12.65</x:v>
      </x:c>
      <x:c r="E34" s="12" t="n">
        <x:f>ROUND(C34*D34,2)</x:f>
        <x:v>12.65</x:v>
      </x:c>
      <x:c r="F34" s="9" t="str">
        <x:v>Micro Robotics</x:v>
      </x:c>
      <x:c r="G34" s="9" t="str">
        <x:v>HS07RB-KIT</x:v>
      </x:c>
      <x:c r="H34" s="9" t="str">
        <x:v>https://www.robotics.org.za/HS07RB-KIT</x:v>
      </x:c>
      <x:c r="I34" s="9" t="str">
        <x:v>P1 Essential</x:v>
      </x:c>
      <x:c r="J34" s="9" t="str">
        <x:v>Listed price checked 2026-09-21</x:v>
      </x:c>
      <x:c r="K34" s="9" t="str">
        <x:v>In stock, both branches</x:v>
      </x:c>
      <x:c r="L34" s="9" t="str">
        <x:v>Check shrink sizes against actual harness.</x:v>
      </x:c>
    </x:row>
    <x:row r="35" ht="65" customHeight="1">
      <x:c r="A35" s="10" t="str">
        <x:v>B29</x:v>
      </x:c>
      <x:c r="B35" s="10" t="str">
        <x:v>M3 Nut/Bolt/Spacer Kit 20 pack</x:v>
      </x:c>
      <x:c r="C35" s="13" t="n">
        <x:v>2</x:v>
      </x:c>
      <x:c r="D35" s="14" t="n">
        <x:v>25.3</x:v>
      </x:c>
      <x:c r="E35" s="11" t="n">
        <x:f>ROUND(C35*D35,2)</x:f>
        <x:v>50.6</x:v>
      </x:c>
      <x:c r="F35" s="10" t="str">
        <x:v>Micro Robotics</x:v>
      </x:c>
      <x:c r="G35" s="10" t="str">
        <x:v>M3-L6-KIT</x:v>
      </x:c>
      <x:c r="H35" s="10" t="str">
        <x:v>https://www.robotics.org.za/M3-L6-KIT</x:v>
      </x:c>
      <x:c r="I35" s="10" t="str">
        <x:v>P1 Essential</x:v>
      </x:c>
      <x:c r="J35" s="10" t="str">
        <x:v>Submitted price; refresh needed</x:v>
      </x:c>
      <x:c r="K35" s="10" t="str">
        <x:v>Not rechecked</x:v>
      </x:c>
      <x:c r="L35" s="10" t="str">
        <x:v>Electronics spacer kit does not cover all chassis/motor fasteners.</x:v>
      </x:c>
    </x:row>
    <x:row r="36" ht="65" customHeight="1">
      <x:c r="A36" s="9" t="str">
        <x:v>B30</x:v>
      </x:c>
      <x:c r="B36" s="9" t="str">
        <x:v>M3 x10mm Countersunk Self-Tapping Screws 20 pack</x:v>
      </x:c>
      <x:c r="C36" s="15" t="n">
        <x:v>2</x:v>
      </x:c>
      <x:c r="D36" s="16" t="n">
        <x:v>5.75</x:v>
      </x:c>
      <x:c r="E36" s="12" t="n">
        <x:f>ROUND(C36*D36,2)</x:f>
        <x:v>11.5</x:v>
      </x:c>
      <x:c r="F36" s="9" t="str">
        <x:v>Micro Robotics</x:v>
      </x:c>
      <x:c r="G36" s="9" t="str">
        <x:v>M3-L10-ST</x:v>
      </x:c>
      <x:c r="H36" s="9" t="str">
        <x:v>https://www.robotics.org.za/index.php?page=48&amp;path=173&amp;route=product%2Fcategory</x:v>
      </x:c>
      <x:c r="I36" s="9" t="str">
        <x:v>P1 Essential</x:v>
      </x:c>
      <x:c r="J36" s="9" t="str">
        <x:v>Submitted price; refresh needed</x:v>
      </x:c>
      <x:c r="K36" s="9" t="str">
        <x:v>Not rechecked</x:v>
      </x:c>
      <x:c r="L36" s="9" t="str">
        <x:v>Submitted link is a category; exact product and structural fastening plan needed.</x:v>
      </x:c>
    </x:row>
    <x:row r="37" ht="65" customHeight="1">
      <x:c r="A37" s="10" t="str">
        <x:v>B31</x:v>
      </x:c>
      <x:c r="B37" s="10" t="str">
        <x:v>LM35 Gravity Temperature Sensor</x:v>
      </x:c>
      <x:c r="C37" s="13" t="n">
        <x:v>1</x:v>
      </x:c>
      <x:c r="D37" s="14" t="n">
        <x:v>74.75</x:v>
      </x:c>
      <x:c r="E37" s="11" t="n">
        <x:f>ROUND(C37*D37,2)</x:f>
        <x:v>74.75</x:v>
      </x:c>
      <x:c r="F37" s="10" t="str">
        <x:v>Micro Robotics</x:v>
      </x:c>
      <x:c r="G37" s="10" t="str">
        <x:v>DFR0023</x:v>
      </x:c>
      <x:c r="H37" s="10" t="str">
        <x:v>https://www.robotics.org.za/DFR0023</x:v>
      </x:c>
      <x:c r="I37" s="10" t="str">
        <x:v>P3 Optional</x:v>
      </x:c>
      <x:c r="J37" s="10" t="str">
        <x:v>Submitted price; refresh needed</x:v>
      </x:c>
      <x:c r="K37" s="10" t="str">
        <x:v>Not rechecked</x:v>
      </x:c>
      <x:c r="L37" s="10" t="str">
        <x:v>Confirm exact part, quantity and delivery before ordering.</x:v>
      </x:c>
    </x:row>
    <x:row r="38" ht="65" customHeight="1">
      <x:c r="A38" s="9" t="str">
        <x:v>B32</x:v>
      </x:c>
      <x:c r="B38" s="9" t="str">
        <x:v>5V Active Buzzer 4 pack</x:v>
      </x:c>
      <x:c r="C38" s="15" t="n">
        <x:v>1</x:v>
      </x:c>
      <x:c r="D38" s="16" t="n">
        <x:v>18.4</x:v>
      </x:c>
      <x:c r="E38" s="12" t="n">
        <x:f>ROUND(C38*D38,2)</x:f>
        <x:v>18.4</x:v>
      </x:c>
      <x:c r="F38" s="9" t="str">
        <x:v>Micro Robotics</x:v>
      </x:c>
      <x:c r="G38" s="9" t="str">
        <x:v>BUZ-50V-PCB</x:v>
      </x:c>
      <x:c r="H38" s="9" t="str">
        <x:v>https://www.robotics.org.za/BUZ-50V-PCB</x:v>
      </x:c>
      <x:c r="I38" s="9" t="str">
        <x:v>P3 Optional</x:v>
      </x:c>
      <x:c r="J38" s="9" t="str">
        <x:v>Submitted price; refresh needed</x:v>
      </x:c>
      <x:c r="K38" s="9" t="str">
        <x:v>Not rechecked</x:v>
      </x:c>
      <x:c r="L38" s="9" t="str">
        <x:v>Confirm exact part, quantity and delivery before ordering.</x:v>
      </x:c>
    </x:row>
    <x:row r="39" ht="65" customHeight="1">
      <x:c r="A39" s="10" t="str">
        <x:v>B33</x:v>
      </x:c>
      <x:c r="B39" s="10" t="str">
        <x:v>EV-Peak E3 AC 2-4S LiPo charger</x:v>
      </x:c>
      <x:c r="C39" s="13" t="n">
        <x:v>1</x:v>
      </x:c>
      <x:c r="D39" s="14" t="n">
        <x:v>495</x:v>
      </x:c>
      <x:c r="E39" s="11" t="n">
        <x:f>ROUND(C39*D39,2)</x:f>
        <x:v>495</x:v>
      </x:c>
      <x:c r="F39" s="10" t="str">
        <x:v>FireFly Hobbies</x:v>
      </x:c>
      <x:c r="G39" s="10" t="str">
        <x:v>E3</x:v>
      </x:c>
      <x:c r="H39" s="10" t="str">
        <x:v>https://fireflyhobbies.co.za/product/ev-peak-e-cube-e3-ac-lipo-charger/</x:v>
      </x:c>
      <x:c r="I39" s="10" t="str">
        <x:v>P1 Essential</x:v>
      </x:c>
      <x:c r="J39" s="10" t="str">
        <x:v>Published product price; stock quote required</x:v>
      </x:c>
      <x:c r="K39" s="10" t="str">
        <x:v>Page shows stock; cached listing, reconfirm</x:v>
      </x:c>
      <x:c r="L39" s="10" t="str">
        <x:v>Direct product link replaces category link. Confirm pack balance connector, leads and delivery; loan acceptable.</x:v>
      </x:c>
    </x:row>
    <x:row r="40" ht="65" customHeight="1">
      <x:c r="A40" s="9" t="str">
        <x:v>B34</x:v>
      </x:c>
      <x:c r="B40" s="9" t="str">
        <x:v>XT60 Charger Cable</x:v>
      </x:c>
      <x:c r="C40" s="15" t="n">
        <x:v>1</x:v>
      </x:c>
      <x:c r="D40" s="16" t="n">
        <x:v>69</x:v>
      </x:c>
      <x:c r="E40" s="12" t="n">
        <x:f>ROUND(C40*D40,2)</x:f>
        <x:v>69</x:v>
      </x:c>
      <x:c r="F40" s="9" t="str">
        <x:v>Smitties Hobbies</x:v>
      </x:c>
      <x:c r="G40" s="9" t="str">
        <x:v>XT60 CHARGER CABLE</x:v>
      </x:c>
      <x:c r="H40" s="9" t="str">
        <x:v>https://www.smittieshobbies.com/batteries-chargers</x:v>
      </x:c>
      <x:c r="I40" s="9" t="str">
        <x:v>P1 Essential</x:v>
      </x:c>
      <x:c r="J40" s="9" t="str">
        <x:v>Submitted price; refresh needed</x:v>
      </x:c>
      <x:c r="K40" s="9" t="str">
        <x:v>Not rechecked</x:v>
      </x:c>
      <x:c r="L40" s="9" t="str">
        <x:v>Category link only; confirm exact lead for selected charger.</x:v>
      </x:c>
    </x:row>
    <x:row r="41" ht="65" customHeight="1">
      <x:c r="A41" s="10" t="str">
        <x:v>B35</x:v>
      </x:c>
      <x:c r="B41" s="10" t="str">
        <x:v>Battery Strap 20x200mm pack of 2</x:v>
      </x:c>
      <x:c r="C41" s="13" t="n">
        <x:v>1</x:v>
      </x:c>
      <x:c r="D41" s="14" t="n">
        <x:v>30</x:v>
      </x:c>
      <x:c r="E41" s="11" t="n">
        <x:f>ROUND(C41*D41,2)</x:f>
        <x:v>30</x:v>
      </x:c>
      <x:c r="F41" s="10" t="str">
        <x:v>Smitties Hobbies</x:v>
      </x:c>
      <x:c r="G41" s="10" t="str">
        <x:v>BATTERY STRAP 20x200 2PKT</x:v>
      </x:c>
      <x:c r="H41" s="10" t="str">
        <x:v>https://www.smittieshobbies.com/li-po-and-li-fe-batteries</x:v>
      </x:c>
      <x:c r="I41" s="10" t="str">
        <x:v>P1 Essential</x:v>
      </x:c>
      <x:c r="J41" s="10" t="str">
        <x:v>Submitted price; refresh needed</x:v>
      </x:c>
      <x:c r="K41" s="10" t="str">
        <x:v>Not rechecked</x:v>
      </x:c>
      <x:c r="L41" s="10" t="str">
        <x:v>Category link only; verify restraint design and exact product.</x:v>
      </x:c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0" hidden="0" customWidth="1"/>
    <x:col min="2" max="2" width="55" hidden="0" customWidth="1"/>
    <x:col min="3" max="3" width="36" hidden="0" customWidth="1"/>
    <x:col min="4" max="4" width="10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0" customHeight="1">
      <x:c r="A2" s="3" t="str">
        <x:v>Items needing a specification or quote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2" t="str">
        <x:v>Required completion scope; not zero-cost items. Avoid double counting items already covered in the priced list.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A4" s="2" t="str">
        <x:v>Supplier / stock code / price: pending specification and quotation. Quantities shown are scope descriptions, not issued cut lists.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32" customHeight="1">
      <x:c r="A6" s="8" t="str">
        <x:v>ID</x:v>
      </x:c>
      <x:c r="B6" s="8" t="str">
        <x:v>Item / service</x:v>
      </x:c>
      <x:c r="C6" s="8" t="str">
        <x:v>Quantity basis</x:v>
      </x:c>
      <x:c r="D6" s="8" t="str">
        <x:v>Required action</x:v>
      </x:c>
      <x:c r="E6" s="2"/>
      <x:c r="F6" s="2"/>
      <x:c r="G6" s="2"/>
      <x:c r="H6" s="2"/>
      <x:c r="I6" s="2"/>
      <x:c r="J6" s="2"/>
      <x:c r="K6" s="2"/>
      <x:c r="L6" s="2"/>
    </x:row>
    <x:row r="7" ht="65" customHeight="1">
      <x:c r="A7" s="10" t="str">
        <x:v>Q01</x:v>
      </x:c>
      <x:c r="B7" s="10" t="str">
        <x:v>4 AA alkaline cells for FlySky transmitter</x:v>
      </x:c>
      <x:c r="C7" s="10" t="str">
        <x:v>4 cells</x:v>
      </x:c>
      <x:c r="D7" s="10" t="str">
        <x:v>Confirm pack price at Communica, Takealot or Amazon.co.za; do not buy Boxer battery.</x:v>
      </x:c>
      <x:c r="E7" s="2"/>
      <x:c r="F7" s="2"/>
      <x:c r="G7" s="2"/>
      <x:c r="H7" s="2"/>
      <x:c r="I7" s="2"/>
      <x:c r="J7" s="2"/>
      <x:c r="K7" s="2"/>
      <x:c r="L7" s="2"/>
    </x:row>
    <x:row r="8" ht="65" customHeight="1">
      <x:c r="A8" s="9" t="str">
        <x:v>Q02</x:v>
      </x:c>
      <x:c r="B8" s="9" t="str">
        <x:v>Branch fuse holders and appropriate fuses</x:v>
      </x:c>
      <x:c r="C8" s="9" t="str">
        <x:v>Per finalized circuit</x:v>
      </x:c>
      <x:c r="D8" s="9" t="str">
        <x:v>Main holder alone is insufficient. Select after branch current and conductor ratings.</x:v>
      </x:c>
      <x:c r="E8" s="2"/>
      <x:c r="F8" s="2"/>
      <x:c r="G8" s="2"/>
      <x:c r="H8" s="2"/>
      <x:c r="I8" s="2"/>
      <x:c r="J8" s="2"/>
      <x:c r="K8" s="2"/>
      <x:c r="L8" s="2"/>
    </x:row>
    <x:row r="9" ht="65" customHeight="1">
      <x:c r="A9" s="10" t="str">
        <x:v>Q03</x:v>
      </x:c>
      <x:c r="B9" s="10" t="str">
        <x:v>Contactor reset/arming hardware and coil suppression</x:v>
      </x:c>
      <x:c r="C9" s="10" t="str">
        <x:v>1 reviewed circuit</x:v>
      </x:c>
      <x:c r="D9" s="10" t="str">
        <x:v>Match selected coil and no-auto-restart design; quote relay/socket or contactor upgrade as needed.</x:v>
      </x:c>
      <x:c r="E9" s="2"/>
      <x:c r="F9" s="2"/>
      <x:c r="G9" s="2"/>
      <x:c r="H9" s="2"/>
      <x:c r="I9" s="2"/>
      <x:c r="J9" s="2"/>
      <x:c r="K9" s="2"/>
      <x:c r="L9" s="2"/>
    </x:row>
    <x:row r="10" ht="65" customHeight="1">
      <x:c r="A10" s="9" t="str">
        <x:v>Q04</x:v>
      </x:c>
      <x:c r="B10" s="9" t="str">
        <x:v>Insulated distribution block, terminals and terminal covers</x:v>
      </x:c>
      <x:c r="C10" s="9" t="str">
        <x:v>Per harness</x:v>
      </x:c>
      <x:c r="D10" s="9" t="str">
        <x:v>Current/voltage rating and number of terminals require final wiring list.</x:v>
      </x:c>
      <x:c r="E10" s="2"/>
      <x:c r="F10" s="2"/>
      <x:c r="G10" s="2"/>
      <x:c r="H10" s="2"/>
      <x:c r="I10" s="2"/>
      <x:c r="J10" s="2"/>
      <x:c r="K10" s="2"/>
      <x:c r="L10" s="2"/>
    </x:row>
    <x:row r="11" ht="65" customHeight="1">
      <x:c r="A11" s="10" t="str">
        <x:v>Q05</x:v>
      </x:c>
      <x:c r="B11" s="10" t="str">
        <x:v>Power wire, ring terminals/ferrules and insulating sleeves</x:v>
      </x:c>
      <x:c r="C11" s="10" t="str">
        <x:v>Per measured harness</x:v>
      </x:c>
      <x:c r="D11" s="10" t="str">
        <x:v>Resolve B26 exact product link; avoid duplicate cable purchase. Final lengths and sizes pending.</x:v>
      </x:c>
      <x:c r="E11" s="2"/>
      <x:c r="F11" s="2"/>
      <x:c r="G11" s="2"/>
      <x:c r="H11" s="2"/>
      <x:c r="I11" s="2"/>
      <x:c r="J11" s="2"/>
      <x:c r="K11" s="2"/>
      <x:c r="L11" s="2"/>
    </x:row>
    <x:row r="12" ht="65" customHeight="1">
      <x:c r="A12" s="9" t="str">
        <x:v>Q06</x:v>
      </x:c>
      <x:c r="B12" s="9" t="str">
        <x:v>Bus-servo cables, logic interface and signal harness</x:v>
      </x:c>
      <x:c r="C12" s="9" t="str">
        <x:v>3 servos plus controller</x:v>
      </x:c>
      <x:c r="D12" s="9" t="str">
        <x:v>Confirm W25514 connector pinout and wire gauge; ordinary SERVO-KIT may not match bus-servo connectors.</x:v>
      </x:c>
      <x:c r="E12" s="2"/>
      <x:c r="F12" s="2"/>
      <x:c r="G12" s="2"/>
      <x:c r="H12" s="2"/>
      <x:c r="I12" s="2"/>
      <x:c r="J12" s="2"/>
      <x:c r="K12" s="2"/>
      <x:c r="L12" s="2"/>
    </x:row>
    <x:row r="13" ht="65" customHeight="1">
      <x:c r="A13" s="10" t="str">
        <x:v>Q07</x:v>
      </x:c>
      <x:c r="B13" s="10" t="str">
        <x:v>Pico headers, Micro-USB data cable and secure carrier/protoboard</x:v>
      </x:c>
      <x:c r="C13" s="10" t="str">
        <x:v>1 controller set</x:v>
      </x:c>
      <x:c r="D13" s="10" t="str">
        <x:v>USB data cable, not charging-only; appropriate 3.3 V level interface if receiver output requires it.</x:v>
      </x:c>
      <x:c r="E13" s="2"/>
      <x:c r="F13" s="2"/>
      <x:c r="G13" s="2"/>
      <x:c r="H13" s="2"/>
      <x:c r="I13" s="2"/>
      <x:c r="J13" s="2"/>
      <x:c r="K13" s="2"/>
      <x:c r="L13" s="2"/>
    </x:row>
    <x:row r="14" ht="65" customHeight="1">
      <x:c r="A14" s="9" t="str">
        <x:v>Q08</x:v>
      </x:c>
      <x:c r="B14" s="9" t="str">
        <x:v>Chassis/motor fasteners, washers, locking nuts and spacers</x:v>
      </x:c>
      <x:c r="C14" s="9" t="str">
        <x:v>Per approved joint list</x:v>
      </x:c>
      <x:c r="D14" s="9" t="str">
        <x:v>B29/B30 do not cover all structural joints; exact lengths depend on stack-up.</x:v>
      </x:c>
      <x:c r="E14" s="2"/>
      <x:c r="F14" s="2"/>
      <x:c r="G14" s="2"/>
      <x:c r="H14" s="2"/>
      <x:c r="I14" s="2"/>
      <x:c r="J14" s="2"/>
      <x:c r="K14" s="2"/>
      <x:c r="L14" s="2"/>
    </x:row>
    <x:row r="15" ht="65" customHeight="1">
      <x:c r="A15" s="10" t="str">
        <x:v>Q09</x:v>
      </x:c>
      <x:c r="B15" s="10" t="str">
        <x:v>Cable ties, P-clips, grommets and strain relief</x:v>
      </x:c>
      <x:c r="C15" s="10" t="str">
        <x:v>Per harness</x:v>
      </x:c>
      <x:c r="D15" s="10" t="str">
        <x:v>Protect cable routes and sharp edges.</x:v>
      </x:c>
      <x:c r="E15" s="2"/>
      <x:c r="F15" s="2"/>
      <x:c r="G15" s="2"/>
      <x:c r="H15" s="2"/>
      <x:c r="I15" s="2"/>
      <x:c r="J15" s="2"/>
      <x:c r="K15" s="2"/>
      <x:c r="L15" s="2"/>
    </x:row>
    <x:row r="16" ht="65" customHeight="1">
      <x:c r="A16" s="9" t="str">
        <x:v>Q10</x:v>
      </x:c>
      <x:c r="B16" s="9" t="str">
        <x:v>Mechanism shafts, correct collars/couplings, support bearings and transmission</x:v>
      </x:c>
      <x:c r="C16" s="9" t="str">
        <x:v>Per approved mechanism drawing</x:v>
      </x:c>
      <x:c r="D16" s="9" t="str">
        <x:v>B18/B19 mismatch must be resolved; retain only correctly sized parts.</x:v>
      </x:c>
      <x:c r="E16" s="2"/>
      <x:c r="F16" s="2"/>
      <x:c r="G16" s="2"/>
      <x:c r="H16" s="2"/>
      <x:c r="I16" s="2"/>
      <x:c r="J16" s="2"/>
      <x:c r="K16" s="2"/>
      <x:c r="L16" s="2"/>
    </x:row>
    <x:row r="17" ht="65" customHeight="1">
      <x:c r="A17" s="10" t="str">
        <x:v>Q11</x:v>
      </x:c>
      <x:c r="B17" s="10" t="str">
        <x:v>Guards, mechanical transport locks and retention hardware</x:v>
      </x:c>
      <x:c r="C17" s="10" t="str">
        <x:v>Per approved mechanism</x:v>
      </x:c>
      <x:c r="D17" s="10" t="str">
        <x:v>Load-rated design and organizer/lab review before fabrication or powered testing.</x:v>
      </x:c>
      <x:c r="E17" s="2"/>
      <x:c r="F17" s="2"/>
      <x:c r="G17" s="2"/>
      <x:c r="H17" s="2"/>
      <x:c r="I17" s="2"/>
      <x:c r="J17" s="2"/>
      <x:c r="K17" s="2"/>
      <x:c r="L17" s="2"/>
    </x:row>
    <x:row r="18" ht="65" customHeight="1">
      <x:c r="A18" s="9" t="str">
        <x:v>Q12</x:v>
      </x:c>
      <x:c r="B18" s="9" t="str">
        <x:v>Battery tray, padding and straps</x:v>
      </x:c>
      <x:c r="C18" s="9" t="str">
        <x:v>1 battery mounting set</x:v>
      </x:c>
      <x:c r="D18" s="9" t="str">
        <x:v>B35 straps are budgeted; confirm tray/insulation and exact strap link without double counting.</x:v>
      </x:c>
      <x:c r="E18" s="2"/>
      <x:c r="F18" s="2"/>
      <x:c r="G18" s="2"/>
      <x:c r="H18" s="2"/>
      <x:c r="I18" s="2"/>
      <x:c r="J18" s="2"/>
      <x:c r="K18" s="2"/>
      <x:c r="L18" s="2"/>
    </x:row>
    <x:row r="19" ht="65" customHeight="1">
      <x:c r="A19" s="10" t="str">
        <x:v>Q13</x:v>
      </x:c>
      <x:c r="B19" s="10" t="str">
        <x:v>Raw metal cut lengths, HDPE cutting and machining services</x:v>
      </x:c>
      <x:c r="C19" s="10" t="str">
        <x:v>Per cut list</x:v>
      </x:c>
      <x:c r="D19" s="10" t="str">
        <x:v>Raw stock is listed in B01-B03. Ask lab to quote only missing material/service scope.</x:v>
      </x:c>
      <x:c r="E19" s="2"/>
      <x:c r="F19" s="2"/>
      <x:c r="G19" s="2"/>
      <x:c r="H19" s="2"/>
      <x:c r="I19" s="2"/>
      <x:c r="J19" s="2"/>
      <x:c r="K19" s="2"/>
      <x:c r="L19" s="2"/>
    </x:row>
    <x:row r="20" ht="65" customHeight="1">
      <x:c r="A20" s="9" t="str">
        <x:v>Q14</x:v>
      </x:c>
      <x:c r="B20" s="9" t="str">
        <x:v>LiPo charging/storage bag or lab-approved containment</x:v>
      </x:c>
      <x:c r="C20" s="9" t="str">
        <x:v>1 set</x:v>
      </x:c>
      <x:c r="D20" s="9" t="str">
        <x:v>Confirm lab/venue charging requirements, product and price.</x:v>
      </x:c>
      <x:c r="E20" s="2"/>
      <x:c r="F20" s="2"/>
      <x:c r="G20" s="2"/>
      <x:c r="H20" s="2"/>
      <x:c r="I20" s="2"/>
      <x:c r="J20" s="2"/>
      <x:c r="K20" s="2"/>
      <x:c r="L20" s="2"/>
    </x:row>
    <x:row r="21" ht="65" customHeight="1">
      <x:c r="A21" s="10" t="str">
        <x:v>Q15</x:v>
      </x:c>
      <x:c r="B21" s="10" t="str">
        <x:v>Delivery and essential spares</x:v>
      </x:c>
      <x:c r="C21" s="10" t="str">
        <x:v>Supplier quote</x:v>
      </x:c>
      <x:c r="D21" s="10" t="str">
        <x:v>Not included in priced subtotal; consolidate orders and verify arrival before testing.</x:v>
      </x:c>
      <x:c r="E21" s="2"/>
      <x:c r="F21" s="2"/>
      <x:c r="G21" s="2"/>
      <x:c r="H21" s="2"/>
      <x:c r="I21" s="2"/>
      <x:c r="J21" s="2"/>
      <x:c r="K21" s="2"/>
      <x:c r="L21" s="2"/>
    </x:row>
    <x:row r="22" ht="65" customHeight="1">
      <x:c r="A22" s="9" t="str">
        <x:v>Q16</x:v>
      </x:c>
      <x:c r="B22" s="9" t="str">
        <x:v>Scale, multimeter, current-limited supply and fabrication tools</x:v>
      </x:c>
      <x:c r="C22" s="9" t="str">
        <x:v>Borrow from lab if available</x:v>
      </x:c>
      <x:c r="D22" s="9" t="str">
        <x:v>Confirm access. No tool purchases assumed or priced.</x:v>
      </x:c>
      <x:c r="E22" s="2"/>
      <x:c r="F22" s="2"/>
      <x:c r="G22" s="2"/>
      <x:c r="H22" s="2"/>
      <x:c r="I22" s="2"/>
      <x:c r="J22" s="2"/>
      <x:c r="K22" s="2"/>
      <x:c r="L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47" hidden="0" customWidth="1"/>
    <x:col min="4" max="4" width="8" hidden="0" customWidth="1"/>
    <x:col min="5" max="5" width="16" hidden="0" customWidth="1"/>
    <x:col min="6" max="6" width="22" hidden="0" customWidth="1"/>
    <x:col min="7" max="7" width="27" hidden="0" customWidth="1"/>
    <x:col min="8" max="8" width="66" hidden="0" customWidth="1"/>
    <x:col min="9" max="9" width="8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0" customHeight="1">
      <x:c r="A2" s="3" t="str">
        <x:v>Alternative suppliers and parts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2" t="str">
        <x:v>Do not buy alternatives in addition to the part they replace. Prices below are excluded from the main request subtotal.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2" customHeight="1">
      <x:c r="A5" s="8" t="str">
        <x:v>ID</x:v>
      </x:c>
      <x:c r="B5" s="8" t="str">
        <x:v>Replaces</x:v>
      </x:c>
      <x:c r="C5" s="8" t="str">
        <x:v>Alternative</x:v>
      </x:c>
      <x:c r="D5" s="8" t="str">
        <x:v>Qty</x:v>
      </x:c>
      <x:c r="E5" s="8" t="str">
        <x:v>Unit price R</x:v>
      </x:c>
      <x:c r="F5" s="8" t="str">
        <x:v>Supplier</x:v>
      </x:c>
      <x:c r="G5" s="8" t="str">
        <x:v>Code / model</x:v>
      </x:c>
      <x:c r="H5" s="8" t="str">
        <x:v>Product link</x:v>
      </x:c>
      <x:c r="I5" s="8" t="str">
        <x:v>Stock / compatibility action</x:v>
      </x:c>
      <x:c r="J5" s="2"/>
      <x:c r="K5" s="2"/>
      <x:c r="L5" s="2"/>
    </x:row>
    <x:row r="6" ht="65" customHeight="1">
      <x:c r="A6" s="10" t="str">
        <x:v>A01</x:v>
      </x:c>
      <x:c r="B6" s="10" t="str">
        <x:v>B07</x:v>
      </x:c>
      <x:c r="C6" s="10" t="str">
        <x:v>2 x Cytron MD20A single-channel controllers</x:v>
      </x:c>
      <x:c r="D6" s="10" t="n">
        <x:v>2</x:v>
      </x:c>
      <x:c r="E6" s="11" t="n">
        <x:v>501.4</x:v>
      </x:c>
      <x:c r="F6" s="10" t="str">
        <x:v>Micro Robotics</x:v>
      </x:c>
      <x:c r="G6" s="10" t="str">
        <x:v>MD20A</x:v>
      </x:c>
      <x:c r="H6" s="10" t="str">
        <x:v>https://www.robotics.org.za/MD20A</x:v>
      </x:c>
      <x:c r="I6" s="10" t="str">
        <x:v>Catalogue lists Centurion stock; direct page inaccessible. Verify stock, 6-30 V model and mounting. One per side; do not also buy MDD20A.</x:v>
      </x:c>
      <x:c r="J6" s="2"/>
      <x:c r="K6" s="2"/>
      <x:c r="L6" s="2"/>
    </x:row>
    <x:row r="7" ht="65" customHeight="1">
      <x:c r="A7" s="9" t="str">
        <x:v>A02</x:v>
      </x:c>
      <x:c r="B7" s="9" t="str">
        <x:v>B09</x:v>
      </x:c>
      <x:c r="C7" s="9" t="str">
        <x:v>FlySky FS-i6X receiver bundle</x:v>
      </x:c>
      <x:c r="D7" s="9" t="n">
        <x:v>1</x:v>
      </x:c>
      <x:c r="E7" s="12" t="n">
        <x:v>1999</x:v>
      </x:c>
      <x:c r="F7" s="9" t="str">
        <x:v>GP Models</x:v>
      </x:c>
      <x:c r="G7" s="9" t="str">
        <x:v>FS-i6X</x:v>
      </x:c>
      <x:c r="H7" s="9" t="str">
        <x:v>https://gpmodels.co.za/products/flysky-fs-i6x-transmitter-and-receiver-set</x:v>
      </x:c>
      <x:c r="I7" s="9" t="str">
        <x:v>Backup supplier; confirm exact included receiver, stock, final price and delivery.</x:v>
      </x:c>
      <x:c r="J7" s="2"/>
      <x:c r="K7" s="2"/>
      <x:c r="L7" s="2"/>
    </x:row>
    <x:row r="8" ht="65" customHeight="1">
      <x:c r="A8" s="10" t="str">
        <x:v>A03</x:v>
      </x:c>
      <x:c r="B8" s="10" t="str">
        <x:v>B09</x:v>
      </x:c>
      <x:c r="C8" s="10" t="str">
        <x:v>FlySky FS-i6X + iA6B set</x:v>
      </x:c>
      <x:c r="D8" s="10" t="n">
        <x:v>1</x:v>
      </x:c>
      <x:c r="E8" s="11" t="n">
        <x:v>1445</x:v>
      </x:c>
      <x:c r="F8" s="10" t="str">
        <x:v>RC King</x:v>
      </x:c>
      <x:c r="G8" s="10" t="str">
        <x:v>FS-i6X / iA6B</x:v>
      </x:c>
      <x:c r="H8" s="10" t="str">
        <x:v>https://rc-king.co.za/transmitters-receivers/2069-flysky-fs-i6x-transmitter-and-receiver-set-2818995402581.html</x:v>
      </x:c>
      <x:c r="I8" s="10" t="str">
        <x:v>Out of stock. Do not substitute without arrival confirmation.</x:v>
      </x:c>
      <x:c r="J8" s="2"/>
      <x:c r="K8" s="2"/>
      <x:c r="L8" s="2"/>
    </x:row>
    <x:row r="9" ht="65" customHeight="1">
      <x:c r="A9" s="9" t="str">
        <x:v>A04</x:v>
      </x:c>
      <x:c r="B9" s="9" t="str">
        <x:v>B09</x:v>
      </x:c>
      <x:c r="C9" s="9" t="str">
        <x:v>FlySky FS-i6 + iA6 set</x:v>
      </x:c>
      <x:c r="D9" s="9" t="n">
        <x:v>1</x:v>
      </x:c>
      <x:c r="E9" s="12" t="str">
        <x:v>Unverified</x:v>
      </x:c>
      <x:c r="F9" s="9" t="str">
        <x:v>Amazon.co.za</x:v>
      </x:c>
      <x:c r="G9" s="9" t="str">
        <x:v>B00VE3PZ3Y</x:v>
      </x:c>
      <x:c r="H9" s="9" t="str">
        <x:v>https://www.amazon.co.za/GoolRC-Flysky-Transmitter-Helicopter-Receiver/dp/B00VE3PZ3Y</x:v>
      </x:c>
      <x:c r="I9" s="9" t="str">
        <x:v>Listing found; price/stock/delivery could not be verified. Different radio/receiver; compatibility review required. Not included in total.</x:v>
      </x:c>
      <x:c r="J9" s="2"/>
      <x:c r="K9" s="2"/>
      <x:c r="L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9" hidden="0" customWidth="1"/>
    <x:col min="2" max="2" width="43" hidden="0" customWidth="1"/>
    <x:col min="3" max="3" width="8" hidden="0" customWidth="1"/>
    <x:col min="4" max="4" width="15" hidden="0" customWidth="1"/>
    <x:col min="5" max="5" width="17" hidden="0" customWidth="1"/>
    <x:col min="6" max="6" width="24" hidden="0" customWidth="1"/>
    <x:col min="7" max="7" width="31" hidden="0" customWidth="1"/>
    <x:col min="8" max="8" width="60" hidden="0" customWidth="1"/>
    <x:col min="9" max="9" width="21" hidden="0" customWidth="1"/>
    <x:col min="10" max="10" width="30" hidden="0" customWidth="1"/>
    <x:col min="11" max="11" width="30" hidden="0" customWidth="1"/>
    <x:col min="12" max="12" width="67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0" customHeight="1">
      <x:c r="A2" s="3" t="str">
        <x:v>Elimination submitted prices - reference only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2" t="str">
        <x:v>Unchanged price/quantity reference from the judged ZIP. These are not newly confirmed prices or authorized orders.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A4" s="2" t="str">
        <x:v>Historical total (ZAR)</x:v>
      </x:c>
      <x:c r="B4" s="2"/>
      <x:c r="C4" s="2"/>
      <x:c r="D4" s="2"/>
      <x:c r="E4" s="4" t="n">
        <x:f>SUM(E8:E42)</x:f>
        <x:v>15985.040000000003</x:v>
      </x:c>
      <x:c r="F4" s="2"/>
      <x:c r="G4" s="2"/>
      <x:c r="H4" s="2"/>
      <x:c r="I4" s="2"/>
      <x:c r="J4" s="2"/>
      <x:c r="K4" s="2"/>
      <x:c r="L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32" customHeight="1">
      <x:c r="A7" s="8" t="str">
        <x:v>ID</x:v>
      </x:c>
      <x:c r="B7" s="8" t="str">
        <x:v>Submitted component</x:v>
      </x:c>
      <x:c r="C7" s="8" t="str">
        <x:v>Qty</x:v>
      </x:c>
      <x:c r="D7" s="8" t="str">
        <x:v>Unit price R</x:v>
      </x:c>
      <x:c r="E7" s="8" t="str">
        <x:v>Line total R</x:v>
      </x:c>
      <x:c r="F7" s="8" t="str">
        <x:v>Supplier</x:v>
      </x:c>
      <x:c r="G7" s="8" t="str">
        <x:v>Stock code / model</x:v>
      </x:c>
      <x:c r="H7" s="8" t="str">
        <x:v>Submitted link</x:v>
      </x:c>
      <x:c r="I7" s="2"/>
      <x:c r="J7" s="2"/>
      <x:c r="K7" s="2"/>
      <x:c r="L7" s="2"/>
    </x:row>
    <x:row r="8" ht="65" customHeight="1">
      <x:c r="A8" s="10" t="str">
        <x:v>B01</x:v>
      </x:c>
      <x:c r="B8" s="10" t="str">
        <x:v>HDPE Sheet 6mm 2000x1000mm</x:v>
      </x:c>
      <x:c r="C8" s="10" t="n">
        <x:v>1</x:v>
      </x:c>
      <x:c r="D8" s="11" t="n">
        <x:v>1943.5</x:v>
      </x:c>
      <x:c r="E8" s="11" t="n">
        <x:f>ROUND(C8*D8,2)</x:f>
        <x:v>1943.5</x:v>
      </x:c>
      <x:c r="F8" s="10" t="str">
        <x:v>Plastic World</x:v>
      </x:c>
      <x:c r="G8" s="10" t="str">
        <x:v>HDPNAT06,0X20001000</x:v>
      </x:c>
      <x:c r="H8" s="10" t="str">
        <x:v>https://plasticworld.co.za/shop/hdpe-sheet-6mm/</x:v>
      </x:c>
      <x:c r="I8" s="2"/>
      <x:c r="J8" s="2"/>
      <x:c r="K8" s="2"/>
      <x:c r="L8" s="2"/>
    </x:row>
    <x:row r="9" ht="65" customHeight="1">
      <x:c r="A9" s="9" t="str">
        <x:v>B02</x:v>
      </x:c>
      <x:c r="B9" s="9" t="str">
        <x:v>Mild Steel Flat Bar 60x6mm x6m</x:v>
      </x:c>
      <x:c r="C9" s="9" t="n">
        <x:v>1</x:v>
      </x:c>
      <x:c r="D9" s="12" t="n">
        <x:v>393.14</x:v>
      </x:c>
      <x:c r="E9" s="12" t="n">
        <x:f>ROUND(C9*D9,2)</x:f>
        <x:v>393.14</x:v>
      </x:c>
      <x:c r="F9" s="9" t="str">
        <x:v>BUCO / Macsteel</x:v>
      </x:c>
      <x:c r="G9" s="9" t="str">
        <x:v>1074220</x:v>
      </x:c>
      <x:c r="H9" s="9" t="str">
        <x:v>https://www.buco.co.za/flat-bar-mild-steel-60x6-0mm-6-0m-1074220</x:v>
      </x:c>
      <x:c r="I9" s="2"/>
      <x:c r="J9" s="2"/>
      <x:c r="K9" s="2"/>
      <x:c r="L9" s="2"/>
    </x:row>
    <x:row r="10" ht="65" customHeight="1">
      <x:c r="A10" s="10" t="str">
        <x:v>B03</x:v>
      </x:c>
      <x:c r="B10" s="10" t="str">
        <x:v>Mild Steel Flat Bar 20x3mm x6m</x:v>
      </x:c>
      <x:c r="C10" s="10" t="n">
        <x:v>1</x:v>
      </x:c>
      <x:c r="D10" s="11" t="n">
        <x:v>72.99</x:v>
      </x:c>
      <x:c r="E10" s="11" t="n">
        <x:f>ROUND(C10*D10,2)</x:f>
        <x:v>72.99</x:v>
      </x:c>
      <x:c r="F10" s="10" t="str">
        <x:v>BUCO</x:v>
      </x:c>
      <x:c r="G10" s="10" t="str">
        <x:v>1074215</x:v>
      </x:c>
      <x:c r="H10" s="10" t="str">
        <x:v>https://www.buco.co.za/flat-bar-mild-steel-20x3-0mm-x-6-0m-1074215</x:v>
      </x:c>
      <x:c r="I10" s="2"/>
      <x:c r="J10" s="2"/>
      <x:c r="K10" s="2"/>
      <x:c r="L10" s="2"/>
    </x:row>
    <x:row r="11" ht="65" customHeight="1">
      <x:c r="A11" s="9" t="str">
        <x:v>B04</x:v>
      </x:c>
      <x:c r="B11" s="9" t="str">
        <x:v>12V 160RPM 37mm Spur Gearmotor</x:v>
      </x:c>
      <x:c r="C11" s="9" t="n">
        <x:v>4</x:v>
      </x:c>
      <x:c r="D11" s="12" t="n">
        <x:v>182.85</x:v>
      </x:c>
      <x:c r="E11" s="12" t="n">
        <x:f>ROUND(C11*D11,2)</x:f>
        <x:v>731.4</x:v>
      </x:c>
      <x:c r="F11" s="9" t="str">
        <x:v>Micro Robotics</x:v>
      </x:c>
      <x:c r="G11" s="9" t="str">
        <x:v>GB37-500-160-12V</x:v>
      </x:c>
      <x:c r="H11" s="9" t="str">
        <x:v>https://www.robotics.org.za/GB37-500-160-12V</x:v>
      </x:c>
      <x:c r="I11" s="2"/>
      <x:c r="J11" s="2"/>
      <x:c r="K11" s="2"/>
      <x:c r="L11" s="2"/>
    </x:row>
    <x:row r="12" ht="65" customHeight="1">
      <x:c r="A12" s="10" t="str">
        <x:v>B05</x:v>
      </x:c>
      <x:c r="B12" s="10" t="str">
        <x:v>37mm Gearmotor Mount</x:v>
      </x:c>
      <x:c r="C12" s="10" t="n">
        <x:v>4</x:v>
      </x:c>
      <x:c r="D12" s="11" t="n">
        <x:v>44.85</x:v>
      </x:c>
      <x:c r="E12" s="11" t="n">
        <x:f>ROUND(C12*D12,2)</x:f>
        <x:v>179.4</x:v>
      </x:c>
      <x:c r="F12" s="10" t="str">
        <x:v>Micro Robotics</x:v>
      </x:c>
      <x:c r="G12" s="10" t="str">
        <x:v>LIY-BRA37</x:v>
      </x:c>
      <x:c r="H12" s="10" t="str">
        <x:v>https://www.robotics.org.za/LIY-BRA37</x:v>
      </x:c>
      <x:c r="I12" s="2"/>
      <x:c r="J12" s="2"/>
      <x:c r="K12" s="2"/>
      <x:c r="L12" s="2"/>
    </x:row>
    <x:row r="13" ht="65" customHeight="1">
      <x:c r="A13" s="9" t="str">
        <x:v>B06</x:v>
      </x:c>
      <x:c r="B13" s="9" t="str">
        <x:v>125mm All-Terrain Wheels pack of 2</x:v>
      </x:c>
      <x:c r="C13" s="9" t="n">
        <x:v>2</x:v>
      </x:c>
      <x:c r="D13" s="12" t="n">
        <x:v>239</x:v>
      </x:c>
      <x:c r="E13" s="12" t="n">
        <x:f>ROUND(C13*D13,2)</x:f>
        <x:v>478</x:v>
      </x:c>
      <x:c r="F13" s="9" t="str">
        <x:v>Communica</x:v>
      </x:c>
      <x:c r="G13" s="9" t="str">
        <x:v>BMT WHEELS X2 ALL TERRAIN CHROME</x:v>
      </x:c>
      <x:c r="H13" s="9" t="str">
        <x:v>https://www.communica.co.za/products/bmt-wheels-x2-all-terrain-chrome</x:v>
      </x:c>
      <x:c r="I13" s="2"/>
      <x:c r="J13" s="2"/>
      <x:c r="K13" s="2"/>
      <x:c r="L13" s="2"/>
    </x:row>
    <x:row r="14" ht="65" customHeight="1">
      <x:c r="A14" s="10" t="str">
        <x:v>B07</x:v>
      </x:c>
      <x:c r="B14" s="10" t="str">
        <x:v>Cytron Dual Motor Driver 20A 6-30V</x:v>
      </x:c>
      <x:c r="C14" s="10" t="n">
        <x:v>1</x:v>
      </x:c>
      <x:c r="D14" s="11" t="n">
        <x:v>779.7</x:v>
      </x:c>
      <x:c r="E14" s="11" t="n">
        <x:f>ROUND(C14*D14,2)</x:f>
        <x:v>779.7</x:v>
      </x:c>
      <x:c r="F14" s="10" t="str">
        <x:v>Micro Robotics</x:v>
      </x:c>
      <x:c r="G14" s="10" t="str">
        <x:v>MDD20A</x:v>
      </x:c>
      <x:c r="H14" s="10" t="str">
        <x:v>https://www.robotics.org.za/MDD20A</x:v>
      </x:c>
      <x:c r="I14" s="2"/>
      <x:c r="J14" s="2"/>
      <x:c r="K14" s="2"/>
      <x:c r="L14" s="2"/>
    </x:row>
    <x:row r="15" ht="65" customHeight="1">
      <x:c r="A15" s="9" t="str">
        <x:v>B08</x:v>
      </x:c>
      <x:c r="B15" s="9" t="str">
        <x:v>3S 11.1V 5000mAh LiPo Battery XT60</x:v>
      </x:c>
      <x:c r="C15" s="9" t="n">
        <x:v>1</x:v>
      </x:c>
      <x:c r="D15" s="12" t="n">
        <x:v>950</x:v>
      </x:c>
      <x:c r="E15" s="12" t="n">
        <x:f>ROUND(C15*D15,2)</x:f>
        <x:v>950</x:v>
      </x:c>
      <x:c r="F15" s="9" t="str">
        <x:v>Scale RC</x:v>
      </x:c>
      <x:c r="G15" s="9" t="str">
        <x:v>BEAT-LIPO-5000-3S</x:v>
      </x:c>
      <x:c r="H15" s="9" t="str">
        <x:v>https://scalerc.co.za/products/beat-lipo-5000mah-11-1v-3s-100c-lipo-battery-xt60-connector</x:v>
      </x:c>
      <x:c r="I15" s="2"/>
      <x:c r="J15" s="2"/>
      <x:c r="K15" s="2"/>
      <x:c r="L15" s="2"/>
    </x:row>
    <x:row r="16" ht="65" customHeight="1">
      <x:c r="A16" s="10" t="str">
        <x:v>B09</x:v>
      </x:c>
      <x:c r="B16" s="10" t="str">
        <x:v>RadioMaster Boxer 2.4GHz ELRS Transmitter</x:v>
      </x:c>
      <x:c r="C16" s="10" t="n">
        <x:v>1</x:v>
      </x:c>
      <x:c r="D16" s="11" t="n">
        <x:v>4999</x:v>
      </x:c>
      <x:c r="E16" s="11" t="n">
        <x:f>ROUND(C16*D16,2)</x:f>
        <x:v>4999</x:v>
      </x:c>
      <x:c r="F16" s="10" t="str">
        <x:v>Flying Robot</x:v>
      </x:c>
      <x:c r="G16" s="10" t="str">
        <x:v>BOXER ELRS</x:v>
      </x:c>
      <x:c r="H16" s="10" t="str">
        <x:v>https://flyingrobot.co/products/radiomaster-boxer-radio-controller-2-4ghz</x:v>
      </x:c>
      <x:c r="I16" s="2"/>
      <x:c r="J16" s="2"/>
      <x:c r="K16" s="2"/>
      <x:c r="L16" s="2"/>
    </x:row>
    <x:row r="17" ht="65" customHeight="1">
      <x:c r="A17" s="9" t="str">
        <x:v>B10</x:v>
      </x:c>
      <x:c r="B17" s="9" t="str">
        <x:v>RadioMaster ER4 2.4GHz ELRS PWM Receiver</x:v>
      </x:c>
      <x:c r="C17" s="9" t="n">
        <x:v>1</x:v>
      </x:c>
      <x:c r="D17" s="12" t="n">
        <x:v>579</x:v>
      </x:c>
      <x:c r="E17" s="12" t="n">
        <x:f>ROUND(C17*D17,2)</x:f>
        <x:v>579</x:v>
      </x:c>
      <x:c r="F17" s="9" t="str">
        <x:v>Flying Robot</x:v>
      </x:c>
      <x:c r="G17" s="9" t="str">
        <x:v>ER4</x:v>
      </x:c>
      <x:c r="H17" s="9" t="str">
        <x:v>https://flyingrobot.co/products/er4-2-4ghz-elrs-pwm-receiver</x:v>
      </x:c>
      <x:c r="I17" s="2"/>
      <x:c r="J17" s="2"/>
      <x:c r="K17" s="2"/>
      <x:c r="L17" s="2"/>
    </x:row>
    <x:row r="18" ht="65" customHeight="1">
      <x:c r="A18" s="10" t="str">
        <x:v>B11</x:v>
      </x:c>
      <x:c r="B18" s="10" t="str">
        <x:v>RadioMaster 6200mAh 2S Transmitter Battery</x:v>
      </x:c>
      <x:c r="C18" s="10" t="n">
        <x:v>1</x:v>
      </x:c>
      <x:c r="D18" s="11" t="n">
        <x:v>879</x:v>
      </x:c>
      <x:c r="E18" s="11" t="n">
        <x:f>ROUND(C18*D18,2)</x:f>
        <x:v>879</x:v>
      </x:c>
      <x:c r="F18" s="10" t="str">
        <x:v>Flying Robot</x:v>
      </x:c>
      <x:c r="G18" s="10" t="str">
        <x:v>RMA064 / 6200mAh 2S Boxer</x:v>
      </x:c>
      <x:c r="H18" s="10" t="str">
        <x:v>https://flyingrobot.co/products/radiomaster-6200mah-2s-lipo-transmitter-battery-for-tx16s-and-boxer</x:v>
      </x:c>
      <x:c r="I18" s="2"/>
      <x:c r="J18" s="2"/>
      <x:c r="K18" s="2"/>
      <x:c r="L18" s="2"/>
    </x:row>
    <x:row r="19" ht="65" customHeight="1">
      <x:c r="A19" s="9" t="str">
        <x:v>B12</x:v>
      </x:c>
      <x:c r="B19" s="9" t="str">
        <x:v>Raspberry Pi Pico 2W</x:v>
      </x:c>
      <x:c r="C19" s="9" t="n">
        <x:v>1</x:v>
      </x:c>
      <x:c r="D19" s="12" t="n">
        <x:v>158.7</x:v>
      </x:c>
      <x:c r="E19" s="12" t="n">
        <x:f>ROUND(C19*D19,2)</x:f>
        <x:v>158.7</x:v>
      </x:c>
      <x:c r="F19" s="9" t="str">
        <x:v>Micro Robotics</x:v>
      </x:c>
      <x:c r="G19" s="9" t="str">
        <x:v>PICO-2W</x:v>
      </x:c>
      <x:c r="H19" s="9" t="str">
        <x:v>https://www.robotics.org.za/PICO-2W</x:v>
      </x:c>
      <x:c r="I19" s="2"/>
      <x:c r="J19" s="2"/>
      <x:c r="K19" s="2"/>
      <x:c r="L19" s="2"/>
    </x:row>
    <x:row r="20" ht="65" customHeight="1">
      <x:c r="A20" s="10" t="str">
        <x:v>B13</x:v>
      </x:c>
      <x:c r="B20" s="10" t="str">
        <x:v>Waveshare ST3215 Serial Bus Servo 30kg.cm</x:v>
      </x:c>
      <x:c r="C20" s="10" t="n">
        <x:v>3</x:v>
      </x:c>
      <x:c r="D20" s="11" t="n">
        <x:v>539.35</x:v>
      </x:c>
      <x:c r="E20" s="11" t="n">
        <x:f>ROUND(C20*D20,2)</x:f>
        <x:v>1618.05</x:v>
      </x:c>
      <x:c r="F20" s="10" t="str">
        <x:v>Micro Robotics</x:v>
      </x:c>
      <x:c r="G20" s="10" t="str">
        <x:v>W22414</x:v>
      </x:c>
      <x:c r="H20" s="10" t="str">
        <x:v>https://www.robotics.org.za/W22414</x:v>
      </x:c>
      <x:c r="I20" s="2"/>
      <x:c r="J20" s="2"/>
      <x:c r="K20" s="2"/>
      <x:c r="L20" s="2"/>
    </x:row>
    <x:row r="21" ht="65" customHeight="1">
      <x:c r="A21" s="9" t="str">
        <x:v>B14</x:v>
      </x:c>
      <x:c r="B21" s="9" t="str">
        <x:v>Waveshare ST/SC Serial Bus Servo Driver</x:v>
      </x:c>
      <x:c r="C21" s="9" t="n">
        <x:v>1</x:v>
      </x:c>
      <x:c r="D21" s="12" t="n">
        <x:v>102.35</x:v>
      </x:c>
      <x:c r="E21" s="12" t="n">
        <x:f>ROUND(C21*D21,2)</x:f>
        <x:v>102.35</x:v>
      </x:c>
      <x:c r="F21" s="9" t="str">
        <x:v>Micro Robotics</x:v>
      </x:c>
      <x:c r="G21" s="9" t="str">
        <x:v>W25514</x:v>
      </x:c>
      <x:c r="H21" s="9" t="str">
        <x:v>https://www.robotics.org.za/motors-controllers/W25514</x:v>
      </x:c>
      <x:c r="I21" s="2"/>
      <x:c r="J21" s="2"/>
      <x:c r="K21" s="2"/>
      <x:c r="L21" s="2"/>
    </x:row>
    <x:row r="22" ht="65" customHeight="1">
      <x:c r="A22" s="10" t="str">
        <x:v>B15</x:v>
      </x:c>
      <x:c r="B22" s="10" t="str">
        <x:v>Servo Wire Extension Kit 4 leads</x:v>
      </x:c>
      <x:c r="C22" s="10" t="n">
        <x:v>2</x:v>
      </x:c>
      <x:c r="D22" s="11" t="n">
        <x:v>20.7</x:v>
      </x:c>
      <x:c r="E22" s="11" t="n">
        <x:f>ROUND(C22*D22,2)</x:f>
        <x:v>41.4</x:v>
      </x:c>
      <x:c r="F22" s="10" t="str">
        <x:v>Micro Robotics</x:v>
      </x:c>
      <x:c r="G22" s="10" t="str">
        <x:v>SERVO-KIT</x:v>
      </x:c>
      <x:c r="H22" s="10" t="str">
        <x:v>https://www.robotics.org.za/SERVO-KIT</x:v>
      </x:c>
      <x:c r="I22" s="2"/>
      <x:c r="J22" s="2"/>
      <x:c r="K22" s="2"/>
      <x:c r="L22" s="2"/>
    </x:row>
    <x:row r="23" ht="65" customHeight="1">
      <x:c r="A23" s="9" t="str">
        <x:v>B16</x:v>
      </x:c>
      <x:c r="B23" s="9" t="str">
        <x:v>12V 4100RPM 775 Brushed DC Motor 5mm shaft</x:v>
      </x:c>
      <x:c r="C23" s="9" t="n">
        <x:v>1</x:v>
      </x:c>
      <x:c r="D23" s="12" t="n">
        <x:v>331.35</x:v>
      </x:c>
      <x:c r="E23" s="12" t="n">
        <x:f>ROUND(C23*D23,2)</x:f>
        <x:v>331.35</x:v>
      </x:c>
      <x:c r="F23" s="9" t="str">
        <x:v>Mantech</x:v>
      </x:c>
      <x:c r="G23" s="9" t="str">
        <x:v>ME101116 / CHR-S775</x:v>
      </x:c>
      <x:c r="H23" s="9" t="str">
        <x:v>https://www.mantech.co.za/ProductInfo.aspx?Item=ME101116</x:v>
      </x:c>
      <x:c r="I23" s="2"/>
      <x:c r="J23" s="2"/>
      <x:c r="K23" s="2"/>
      <x:c r="L23" s="2"/>
    </x:row>
    <x:row r="24" ht="65" customHeight="1">
      <x:c r="A24" s="10" t="str">
        <x:v>B17</x:v>
      </x:c>
      <x:c r="B24" s="10" t="str">
        <x:v>BTS7960 43A H-Bridge Motor Driver</x:v>
      </x:c>
      <x:c r="C24" s="10" t="n">
        <x:v>1</x:v>
      </x:c>
      <x:c r="D24" s="11" t="n">
        <x:v>102.35</x:v>
      </x:c>
      <x:c r="E24" s="11" t="n">
        <x:f>ROUND(C24*D24,2)</x:f>
        <x:v>102.35</x:v>
      </x:c>
      <x:c r="F24" s="10" t="str">
        <x:v>Micro Robotics</x:v>
      </x:c>
      <x:c r="G24" s="10" t="str">
        <x:v>BTS7960</x:v>
      </x:c>
      <x:c r="H24" s="10" t="str">
        <x:v>https://www.robotics.org.za/BTS7960</x:v>
      </x:c>
      <x:c r="I24" s="2"/>
      <x:c r="J24" s="2"/>
      <x:c r="K24" s="2"/>
      <x:c r="L24" s="2"/>
    </x:row>
    <x:row r="25" ht="65" customHeight="1">
      <x:c r="A25" s="9" t="str">
        <x:v>B18</x:v>
      </x:c>
      <x:c r="B25" s="9" t="str">
        <x:v>625ZZ Bearings 5x16x5mm pack of 4</x:v>
      </x:c>
      <x:c r="C25" s="9" t="n">
        <x:v>1</x:v>
      </x:c>
      <x:c r="D25" s="12" t="n">
        <x:v>25.3</x:v>
      </x:c>
      <x:c r="E25" s="12" t="n">
        <x:f>ROUND(C25*D25,2)</x:f>
        <x:v>25.3</x:v>
      </x:c>
      <x:c r="F25" s="9" t="str">
        <x:v>Micro Robotics</x:v>
      </x:c>
      <x:c r="G25" s="9" t="str">
        <x:v>625ZZ</x:v>
      </x:c>
      <x:c r="H25" s="9" t="str">
        <x:v>https://www.robotics.org.za/625ZZ</x:v>
      </x:c>
      <x:c r="I25" s="2"/>
      <x:c r="J25" s="2"/>
      <x:c r="K25" s="2"/>
      <x:c r="L25" s="2"/>
    </x:row>
    <x:row r="26" ht="65" customHeight="1">
      <x:c r="A26" s="10" t="str">
        <x:v>B19</x:v>
      </x:c>
      <x:c r="B26" s="10" t="str">
        <x:v>6mm Shaft Collar pack of 2</x:v>
      </x:c>
      <x:c r="C26" s="10" t="n">
        <x:v>2</x:v>
      </x:c>
      <x:c r="D26" s="11" t="n">
        <x:v>51.75</x:v>
      </x:c>
      <x:c r="E26" s="11" t="n">
        <x:f>ROUND(C26*D26,2)</x:f>
        <x:v>103.5</x:v>
      </x:c>
      <x:c r="F26" s="10" t="str">
        <x:v>Micro Robotics</x:v>
      </x:c>
      <x:c r="G26" s="10" t="str">
        <x:v>LM-SC006</x:v>
      </x:c>
      <x:c r="H26" s="10" t="str">
        <x:v>https://www.robotics.org.za/LM-SC006</x:v>
      </x:c>
      <x:c r="I26" s="2"/>
      <x:c r="J26" s="2"/>
      <x:c r="K26" s="2"/>
      <x:c r="L26" s="2"/>
    </x:row>
    <x:row r="27" ht="65" customHeight="1">
      <x:c r="A27" s="9" t="str">
        <x:v>B20</x:v>
      </x:c>
      <x:c r="B27" s="9" t="str">
        <x:v>Battery Isolator Switch 12V 100A</x:v>
      </x:c>
      <x:c r="C27" s="9" t="n">
        <x:v>1</x:v>
      </x:c>
      <x:c r="D27" s="12" t="n">
        <x:v>120.7</x:v>
      </x:c>
      <x:c r="E27" s="12" t="n">
        <x:f>ROUND(C27*D27,2)</x:f>
        <x:v>120.7</x:v>
      </x:c>
      <x:c r="F27" s="9" t="str">
        <x:v>AutoMarine</x:v>
      </x:c>
      <x:c r="G27" s="9" t="str">
        <x:v>SW101</x:v>
      </x:c>
      <x:c r="H27" s="9" t="str">
        <x:v>https://www.automarine.co.za/battery-isolator-switches/5545-battery-isolator-switch-12-volt-100-amp.html</x:v>
      </x:c>
      <x:c r="I27" s="2"/>
      <x:c r="J27" s="2"/>
      <x:c r="K27" s="2"/>
      <x:c r="L27" s="2"/>
    </x:row>
    <x:row r="28" ht="65" customHeight="1">
      <x:c r="A28" s="10" t="str">
        <x:v>B21</x:v>
      </x:c>
      <x:c r="B28" s="10" t="str">
        <x:v>Emergency Stop Mushroom Switch</x:v>
      </x:c>
      <x:c r="C28" s="10" t="n">
        <x:v>1</x:v>
      </x:c>
      <x:c r="D28" s="11" t="n">
        <x:v>128.8</x:v>
      </x:c>
      <x:c r="E28" s="11" t="n">
        <x:f>ROUND(C28*D28,2)</x:f>
        <x:v>128.8</x:v>
      </x:c>
      <x:c r="F28" s="10" t="str">
        <x:v>Micro Robotics</x:v>
      </x:c>
      <x:c r="G28" s="10" t="str">
        <x:v>FIT0156</x:v>
      </x:c>
      <x:c r="H28" s="10" t="str">
        <x:v>https://www.robotics.org.za/FIT0156</x:v>
      </x:c>
      <x:c r="I28" s="2"/>
      <x:c r="J28" s="2"/>
      <x:c r="K28" s="2"/>
      <x:c r="L28" s="2"/>
    </x:row>
    <x:row r="29" ht="65" customHeight="1">
      <x:c r="A29" s="9" t="str">
        <x:v>B22</x:v>
      </x:c>
      <x:c r="B29" s="9" t="str">
        <x:v>12V 80A Power Relay / Contactor Candidate</x:v>
      </x:c>
      <x:c r="C29" s="9" t="n">
        <x:v>1</x:v>
      </x:c>
      <x:c r="D29" s="12" t="n">
        <x:v>102.52</x:v>
      </x:c>
      <x:c r="E29" s="12" t="n">
        <x:f>ROUND(C29*D29,2)</x:f>
        <x:v>102.52</x:v>
      </x:c>
      <x:c r="F29" s="9" t="str">
        <x:v>RS South Africa</x:v>
      </x:c>
      <x:c r="G29" s="9" t="str">
        <x:v>915-6679 / DG85C-7021-76-1012-R</x:v>
      </x:c>
      <x:c r="H29" s="9" t="str">
        <x:v>https://za.rs-online.com/web/p/power-relays/9156679</x:v>
      </x:c>
      <x:c r="I29" s="2"/>
      <x:c r="J29" s="2"/>
      <x:c r="K29" s="2"/>
      <x:c r="L29" s="2"/>
    </x:row>
    <x:row r="30" ht="65" customHeight="1">
      <x:c r="A30" s="10" t="str">
        <x:v>B23</x:v>
      </x:c>
      <x:c r="B30" s="10" t="str">
        <x:v>30A 32V Blade Fuse Holder</x:v>
      </x:c>
      <x:c r="C30" s="10" t="n">
        <x:v>1</x:v>
      </x:c>
      <x:c r="D30" s="11" t="n">
        <x:v>28.75</x:v>
      </x:c>
      <x:c r="E30" s="11" t="n">
        <x:f>ROUND(C30*D30,2)</x:f>
        <x:v>28.75</x:v>
      </x:c>
      <x:c r="F30" s="10" t="str">
        <x:v>Communica</x:v>
      </x:c>
      <x:c r="G30" s="10" t="str">
        <x:v>CQ211K MOD</x:v>
      </x:c>
      <x:c r="H30" s="10" t="str">
        <x:v>https://www.communica.co.za/products/cq211k-mod</x:v>
      </x:c>
      <x:c r="I30" s="2"/>
      <x:c r="J30" s="2"/>
      <x:c r="K30" s="2"/>
      <x:c r="L30" s="2"/>
    </x:row>
    <x:row r="31" ht="65" customHeight="1">
      <x:c r="A31" s="9" t="str">
        <x:v>B24</x:v>
      </x:c>
      <x:c r="B31" s="9" t="str">
        <x:v>30A 32V Blade Fuse</x:v>
      </x:c>
      <x:c r="C31" s="9" t="n">
        <x:v>3</x:v>
      </x:c>
      <x:c r="D31" s="12" t="n">
        <x:v>3.28</x:v>
      </x:c>
      <x:c r="E31" s="12" t="n">
        <x:f>ROUND(C31*D31,2)</x:f>
        <x:v>9.84</x:v>
      </x:c>
      <x:c r="F31" s="9" t="str">
        <x:v>Communica</x:v>
      </x:c>
      <x:c r="G31" s="9" t="str">
        <x:v>30A BLADE FUSE</x:v>
      </x:c>
      <x:c r="H31" s="9" t="str">
        <x:v>https://www.communica.co.za/products/30a-blade-fuse</x:v>
      </x:c>
      <x:c r="I31" s="2"/>
      <x:c r="J31" s="2"/>
      <x:c r="K31" s="2"/>
      <x:c r="L31" s="2"/>
    </x:row>
    <x:row r="32" ht="65" customHeight="1">
      <x:c r="A32" s="10" t="str">
        <x:v>B25</x:v>
      </x:c>
      <x:c r="B32" s="10" t="str">
        <x:v>XT60 Connector Pair 60A</x:v>
      </x:c>
      <x:c r="C32" s="10" t="n">
        <x:v>3</x:v>
      </x:c>
      <x:c r="D32" s="11" t="n">
        <x:v>34.5</x:v>
      </x:c>
      <x:c r="E32" s="11" t="n">
        <x:f>ROUND(C32*D32,2)</x:f>
        <x:v>103.5</x:v>
      </x:c>
      <x:c r="F32" s="10" t="str">
        <x:v>Communica</x:v>
      </x:c>
      <x:c r="G32" s="10" t="str">
        <x:v>RC-XT60 CONNECTOR PAIR</x:v>
      </x:c>
      <x:c r="H32" s="10" t="str">
        <x:v>https://www.communica.co.za/products/rc-xt60-connector-pair</x:v>
      </x:c>
      <x:c r="I32" s="2"/>
      <x:c r="J32" s="2"/>
      <x:c r="K32" s="2"/>
      <x:c r="L32" s="2"/>
    </x:row>
    <x:row r="33" ht="65" customHeight="1">
      <x:c r="A33" s="9" t="str">
        <x:v>B26</x:v>
      </x:c>
      <x:c r="B33" s="9" t="str">
        <x:v>XT60 Battery Connector Kit 12AWG 30cm</x:v>
      </x:c>
      <x:c r="C33" s="9" t="n">
        <x:v>2</x:v>
      </x:c>
      <x:c r="D33" s="12" t="n">
        <x:v>125.35</x:v>
      </x:c>
      <x:c r="E33" s="12" t="n">
        <x:f>ROUND(C33*D33,2)</x:f>
        <x:v>250.7</x:v>
      </x:c>
      <x:c r="F33" s="9" t="str">
        <x:v>Micro Robotics</x:v>
      </x:c>
      <x:c r="G33" s="9" t="str">
        <x:v>XT60-12AWG-30CM</x:v>
      </x:c>
      <x:c r="H33" s="9" t="str">
        <x:v>https://www.robotics.org.za/power-battery-solar/battery-connectors</x:v>
      </x:c>
      <x:c r="I33" s="2"/>
      <x:c r="J33" s="2"/>
      <x:c r="K33" s="2"/>
      <x:c r="L33" s="2"/>
    </x:row>
    <x:row r="34" ht="65" customHeight="1">
      <x:c r="A34" s="10" t="str">
        <x:v>B27</x:v>
      </x:c>
      <x:c r="B34" s="10" t="str">
        <x:v>Buck Regulator 6-24V to 5V 2A</x:v>
      </x:c>
      <x:c r="C34" s="10" t="n">
        <x:v>1</x:v>
      </x:c>
      <x:c r="D34" s="11" t="n">
        <x:v>55.2</x:v>
      </x:c>
      <x:c r="E34" s="11" t="n">
        <x:f>ROUND(C34*D34,2)</x:f>
        <x:v>55.2</x:v>
      </x:c>
      <x:c r="F34" s="10" t="str">
        <x:v>Micro Robotics</x:v>
      </x:c>
      <x:c r="G34" s="10" t="str">
        <x:v>CHR-624-2A</x:v>
      </x:c>
      <x:c r="H34" s="10" t="str">
        <x:v>https://www.robotics.org.za/index.php?page=14&amp;path=173&amp;route=product%2Fcategory</x:v>
      </x:c>
      <x:c r="I34" s="2"/>
      <x:c r="J34" s="2"/>
      <x:c r="K34" s="2"/>
      <x:c r="L34" s="2"/>
    </x:row>
    <x:row r="35" ht="65" customHeight="1">
      <x:c r="A35" s="9" t="str">
        <x:v>B28</x:v>
      </x:c>
      <x:c r="B35" s="9" t="str">
        <x:v>Heatshrink Kit Black &amp; Red 7mm</x:v>
      </x:c>
      <x:c r="C35" s="9" t="n">
        <x:v>1</x:v>
      </x:c>
      <x:c r="D35" s="12" t="n">
        <x:v>12.65</x:v>
      </x:c>
      <x:c r="E35" s="12" t="n">
        <x:f>ROUND(C35*D35,2)</x:f>
        <x:v>12.65</x:v>
      </x:c>
      <x:c r="F35" s="9" t="str">
        <x:v>Micro Robotics</x:v>
      </x:c>
      <x:c r="G35" s="9" t="str">
        <x:v>HS07RB-KIT</x:v>
      </x:c>
      <x:c r="H35" s="9" t="str">
        <x:v>https://www.robotics.org.za/HS07RB-KIT</x:v>
      </x:c>
      <x:c r="I35" s="2"/>
      <x:c r="J35" s="2"/>
      <x:c r="K35" s="2"/>
      <x:c r="L35" s="2"/>
    </x:row>
    <x:row r="36" ht="65" customHeight="1">
      <x:c r="A36" s="10" t="str">
        <x:v>B29</x:v>
      </x:c>
      <x:c r="B36" s="10" t="str">
        <x:v>M3 Nut/Bolt/Spacer Kit 20 pack</x:v>
      </x:c>
      <x:c r="C36" s="10" t="n">
        <x:v>2</x:v>
      </x:c>
      <x:c r="D36" s="11" t="n">
        <x:v>25.3</x:v>
      </x:c>
      <x:c r="E36" s="11" t="n">
        <x:f>ROUND(C36*D36,2)</x:f>
        <x:v>50.6</x:v>
      </x:c>
      <x:c r="F36" s="10" t="str">
        <x:v>Micro Robotics</x:v>
      </x:c>
      <x:c r="G36" s="10" t="str">
        <x:v>M3-L6-KIT</x:v>
      </x:c>
      <x:c r="H36" s="10" t="str">
        <x:v>https://www.robotics.org.za/M3-L6-KIT</x:v>
      </x:c>
      <x:c r="I36" s="2"/>
      <x:c r="J36" s="2"/>
      <x:c r="K36" s="2"/>
      <x:c r="L36" s="2"/>
    </x:row>
    <x:row r="37" ht="65" customHeight="1">
      <x:c r="A37" s="9" t="str">
        <x:v>B30</x:v>
      </x:c>
      <x:c r="B37" s="9" t="str">
        <x:v>M3 x10mm Countersunk Self-Tapping Screws 20 pack</x:v>
      </x:c>
      <x:c r="C37" s="9" t="n">
        <x:v>2</x:v>
      </x:c>
      <x:c r="D37" s="12" t="n">
        <x:v>5.75</x:v>
      </x:c>
      <x:c r="E37" s="12" t="n">
        <x:f>ROUND(C37*D37,2)</x:f>
        <x:v>11.5</x:v>
      </x:c>
      <x:c r="F37" s="9" t="str">
        <x:v>Micro Robotics</x:v>
      </x:c>
      <x:c r="G37" s="9" t="str">
        <x:v>M3-L10-ST</x:v>
      </x:c>
      <x:c r="H37" s="9" t="str">
        <x:v>https://www.robotics.org.za/index.php?page=48&amp;path=173&amp;route=product%2Fcategory</x:v>
      </x:c>
      <x:c r="I37" s="2"/>
      <x:c r="J37" s="2"/>
      <x:c r="K37" s="2"/>
      <x:c r="L37" s="2"/>
    </x:row>
    <x:row r="38" ht="65" customHeight="1">
      <x:c r="A38" s="10" t="str">
        <x:v>B31</x:v>
      </x:c>
      <x:c r="B38" s="10" t="str">
        <x:v>LM35 Gravity Temperature Sensor</x:v>
      </x:c>
      <x:c r="C38" s="10" t="n">
        <x:v>1</x:v>
      </x:c>
      <x:c r="D38" s="11" t="n">
        <x:v>74.75</x:v>
      </x:c>
      <x:c r="E38" s="11" t="n">
        <x:f>ROUND(C38*D38,2)</x:f>
        <x:v>74.75</x:v>
      </x:c>
      <x:c r="F38" s="10" t="str">
        <x:v>Micro Robotics</x:v>
      </x:c>
      <x:c r="G38" s="10" t="str">
        <x:v>DFR0023</x:v>
      </x:c>
      <x:c r="H38" s="10" t="str">
        <x:v>https://www.robotics.org.za/DFR0023</x:v>
      </x:c>
      <x:c r="I38" s="2"/>
      <x:c r="J38" s="2"/>
      <x:c r="K38" s="2"/>
      <x:c r="L38" s="2"/>
    </x:row>
    <x:row r="39" ht="65" customHeight="1">
      <x:c r="A39" s="9" t="str">
        <x:v>B32</x:v>
      </x:c>
      <x:c r="B39" s="9" t="str">
        <x:v>5V Active Buzzer 4 pack</x:v>
      </x:c>
      <x:c r="C39" s="9" t="n">
        <x:v>1</x:v>
      </x:c>
      <x:c r="D39" s="12" t="n">
        <x:v>18.4</x:v>
      </x:c>
      <x:c r="E39" s="12" t="n">
        <x:f>ROUND(C39*D39,2)</x:f>
        <x:v>18.4</x:v>
      </x:c>
      <x:c r="F39" s="9" t="str">
        <x:v>Micro Robotics</x:v>
      </x:c>
      <x:c r="G39" s="9" t="str">
        <x:v>BUZ-50V-PCB</x:v>
      </x:c>
      <x:c r="H39" s="9" t="str">
        <x:v>https://www.robotics.org.za/BUZ-50V-PCB</x:v>
      </x:c>
      <x:c r="I39" s="2"/>
      <x:c r="J39" s="2"/>
      <x:c r="K39" s="2"/>
      <x:c r="L39" s="2"/>
    </x:row>
    <x:row r="40" ht="65" customHeight="1">
      <x:c r="A40" s="10" t="str">
        <x:v>B33</x:v>
      </x:c>
      <x:c r="B40" s="10" t="str">
        <x:v>EVPEAK E3 LiPo Charger 220V</x:v>
      </x:c>
      <x:c r="C40" s="10" t="n">
        <x:v>1</x:v>
      </x:c>
      <x:c r="D40" s="11" t="n">
        <x:v>450</x:v>
      </x:c>
      <x:c r="E40" s="11" t="n">
        <x:f>ROUND(C40*D40,2)</x:f>
        <x:v>450</x:v>
      </x:c>
      <x:c r="F40" s="10" t="str">
        <x:v>Smitties Hobbies</x:v>
      </x:c>
      <x:c r="G40" s="10" t="str">
        <x:v>EVPEAK E3</x:v>
      </x:c>
      <x:c r="H40" s="10" t="str">
        <x:v>https://www.smittieshobbies.com/batteries-chargers</x:v>
      </x:c>
      <x:c r="I40" s="2"/>
      <x:c r="J40" s="2"/>
      <x:c r="K40" s="2"/>
      <x:c r="L40" s="2"/>
    </x:row>
    <x:row r="41" ht="65" customHeight="1">
      <x:c r="A41" s="9" t="str">
        <x:v>B34</x:v>
      </x:c>
      <x:c r="B41" s="9" t="str">
        <x:v>XT60 Charger Cable</x:v>
      </x:c>
      <x:c r="C41" s="9" t="n">
        <x:v>1</x:v>
      </x:c>
      <x:c r="D41" s="12" t="n">
        <x:v>69</x:v>
      </x:c>
      <x:c r="E41" s="12" t="n">
        <x:f>ROUND(C41*D41,2)</x:f>
        <x:v>69</x:v>
      </x:c>
      <x:c r="F41" s="9" t="str">
        <x:v>Smitties Hobbies</x:v>
      </x:c>
      <x:c r="G41" s="9" t="str">
        <x:v>XT60 CHARGER CABLE</x:v>
      </x:c>
      <x:c r="H41" s="9" t="str">
        <x:v>https://www.smittieshobbies.com/batteries-chargers</x:v>
      </x:c>
      <x:c r="I41" s="2"/>
      <x:c r="J41" s="2"/>
      <x:c r="K41" s="2"/>
      <x:c r="L41" s="2"/>
    </x:row>
    <x:row r="42" ht="65" customHeight="1">
      <x:c r="A42" s="10" t="str">
        <x:v>B35</x:v>
      </x:c>
      <x:c r="B42" s="10" t="str">
        <x:v>Battery Strap 20x200mm pack of 2</x:v>
      </x:c>
      <x:c r="C42" s="10" t="n">
        <x:v>1</x:v>
      </x:c>
      <x:c r="D42" s="11" t="n">
        <x:v>30</x:v>
      </x:c>
      <x:c r="E42" s="11" t="n">
        <x:f>ROUND(C42*D42,2)</x:f>
        <x:v>30</x:v>
      </x:c>
      <x:c r="F42" s="10" t="str">
        <x:v>Smitties Hobbies</x:v>
      </x:c>
      <x:c r="G42" s="10" t="str">
        <x:v>BATTERY STRAP 20x200 2PKT</x:v>
      </x:c>
      <x:c r="H42" s="10" t="str">
        <x:v>https://www.smittieshobbies.com/li-po-and-li-fe-batteries</x:v>
      </x:c>
      <x:c r="I42" s="2"/>
      <x:c r="J42" s="2"/>
      <x:c r="K42" s="2"/>
      <x:c r="L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</x:sheetData>
  <x:pageMargins left="0.7" right="0.7" top="0.75" bottom="0.75" header="0.3" footer="0.3"/>
</x:worksheet>
</file>