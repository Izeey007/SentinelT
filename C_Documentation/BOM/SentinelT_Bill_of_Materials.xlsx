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373b012bb04e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ll of Materials" sheetId="1" r:id="R5d0c15281711422d"/>
    <x:sheet xmlns:r="http://schemas.openxmlformats.org/officeDocument/2006/relationships" name="Procurement Notes" sheetId="2" r:id="R0b3358daa76945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R #,##0.00"/>
  </x:numFmts>
  <x:fonts count="7">
    <x:font>
      <x:sz val="11"/>
      <x:name val="Carlito"/>
    </x:font>
    <x:font>
      <x:b/>
      <x:sz val="16"/>
      <x:color rgb="FFFFFFFF"/>
      <x:name val="Carlito"/>
    </x:font>
    <x:font>
      <x:b/>
      <x:sz val="10"/>
      <x:color rgb="FF111827"/>
      <x:name val="Carlito"/>
    </x:font>
    <x:font>
      <x:sz val="9"/>
      <x:color rgb="FF374151"/>
      <x:name val="Carlito"/>
    </x:font>
    <x:font>
      <x:b/>
      <x:sz val="11"/>
      <x:color rgb="FFFFFFFF"/>
      <x:name val="Carlito"/>
    </x:font>
    <x:font>
      <x:b/>
      <x:sz val="11"/>
      <x:color rgb="FFFF0000"/>
      <x:name val="Carlito"/>
    </x:font>
    <x:font>
      <x:b/>
      <x:sz val="15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E5E7EB"/>
      </x:patternFill>
    </x:fill>
    <x:fill>
      <x:patternFill patternType="solid">
        <x:fgColor rgb="FFF9FAFB"/>
      </x:patternFill>
    </x:fill>
    <x:fill>
      <x:patternFill patternType="solid">
        <x:fgColor rgb="FF1F4B99"/>
      </x:patternFill>
    </x:fill>
    <x:fill>
      <x:patternFill patternType="solid">
        <x:fgColor rgb="FFFEE2E2"/>
      </x:patternFill>
    </x:fill>
  </x:fills>
  <x:borders count="2">
    <x:border/>
    <x:border/>
  </x:borders>
  <x:cellStyleXfs count="1">
    <x:xf numFmtId="0" fontId="0" fillId="0" borderId="0"/>
  </x:cellStyleXfs>
  <x:cellXfs count="5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/>
    <x:xf numFmtId="0" fontId="0" fillId="6" borderId="0" xfId="0" applyNumberFormat="1" applyFont="1" applyFill="1" applyBorder="1"/>
    <x:xf numFmtId="200" fontId="0" fillId="6" borderId="0" xfId="0" applyNumberFormat="1" applyFont="1" applyFill="1" applyBorder="1"/>
    <x:xf numFmtId="0" fontId="5" fillId="6" borderId="0" xfId="0" applyNumberFormat="1" applyFont="1" applyFill="1" applyBorder="1"/>
    <x:xf numFmtId="200" fontId="5" fillId="6" borderId="0" xfId="0" applyNumberFormat="1" applyFont="1" applyFill="1" applyBorder="1"/>
    <x:xf numFmtId="0" fontId="0" fillId="6" borderId="1" xfId="0" applyNumberFormat="1" applyFont="1" applyFill="1" applyBorder="1"/>
    <x:xf numFmtId="200" fontId="0" fillId="6" borderId="1" xfId="0" applyNumberFormat="1" applyFont="1" applyFill="1" applyBorder="1"/>
    <x:xf numFmtId="0" fontId="5" fillId="6" borderId="1" xfId="0" applyNumberFormat="1" applyFont="1" applyFill="1" applyBorder="1"/>
    <x:xf numFmtId="200" fontId="5" fillId="6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af90749708476a" /><Relationship Type="http://schemas.openxmlformats.org/officeDocument/2006/relationships/theme" Target="/xl/theme/theme1.xml" Id="Rb2ee019651b04163" /><Relationship Type="http://schemas.openxmlformats.org/officeDocument/2006/relationships/sharedStrings" Target="/xl/sharedStrings.xml" Id="Rcfda40850364483d" /><Relationship Type="http://schemas.openxmlformats.org/officeDocument/2006/relationships/worksheet" Target="/xl/worksheets/sheet1.xml" Id="R5d0c15281711422d" /><Relationship Type="http://schemas.openxmlformats.org/officeDocument/2006/relationships/worksheet" Target="/xl/worksheets/sheet2.xml" Id="R0b3358daa76945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0" hidden="0" customWidth="1"/>
    <x:col min="3" max="3" width="16" hidden="0" customWidth="1"/>
    <x:col min="4" max="4" width="19" hidden="0" customWidth="1"/>
    <x:col min="5" max="5" width="26" hidden="0" customWidth="1"/>
    <x:col min="6" max="6" width="46" hidden="0" customWidth="1"/>
    <x:col min="7" max="7" width="16" hidden="0" customWidth="1"/>
    <x:col min="8" max="8" width="24" hidden="0" customWidth="1"/>
    <x:col min="9" max="9" width="48" hidden="0" customWidth="1"/>
  </x:cols>
  <x:sheetData>
    <x:row r="1" ht="30" customHeight="1">
      <x:c r="A1" s="5" t="str">
        <x:v>SentinelT - Bill of Materials / Funding Procurement List</x:v>
      </x:c>
      <x:c r="B1" s="5"/>
      <x:c r="C1" s="5"/>
      <x:c r="D1" s="5"/>
      <x:c r="E1" s="5"/>
      <x:c r="F1" s="5"/>
      <x:c r="G1" s="5"/>
      <x:c r="H1" s="5"/>
      <x:c r="I1" s="5"/>
    </x:row>
    <x:row r="2" ht="22" customHeight="1">
      <x:c r="A2" s="12" t="str">
        <x:v>Project Developer: TG Assegaai | Robo Wars RC Combat | Prices checked September 2026</x:v>
      </x:c>
      <x:c r="B2" s="12"/>
      <x:c r="C2" s="12"/>
      <x:c r="D2" s="12"/>
      <x:c r="E2" s="12"/>
      <x:c r="F2" s="12"/>
      <x:c r="G2" s="12"/>
      <x:c r="H2" s="12"/>
      <x:c r="I2" s="12"/>
    </x:row>
    <x:row r="3" ht="44" customHeight="1">
      <x:c r="A3" s="18" t="str">
        <x:v>All planned physical hardware is budgeted below. Hardware-stage measurements and safety tests are performed during implementation; the physical build will be adjusted as required to remain within Robo Wars limits.</x:v>
      </x:c>
      <x:c r="B3" s="18"/>
      <x:c r="C3" s="18"/>
      <x:c r="D3" s="18"/>
      <x:c r="E3" s="18"/>
      <x:c r="F3" s="18"/>
      <x:c r="G3" s="18"/>
      <x:c r="H3" s="18"/>
      <x:c r="I3" s="18"/>
    </x:row>
    <x:row r="5" ht="34" customHeight="1">
      <x:c r="A5" s="26" t="str">
        <x:v>Component Name</x:v>
      </x:c>
      <x:c r="B5" s="26" t="str">
        <x:v>Quantity</x:v>
      </x:c>
      <x:c r="C5" s="26" t="str">
        <x:v>Cost per Unit (ZAR)</x:v>
      </x:c>
      <x:c r="D5" s="26" t="str">
        <x:v>Supplier</x:v>
      </x:c>
      <x:c r="E5" s="26" t="str">
        <x:v>Supplier Stock Code</x:v>
      </x:c>
      <x:c r="F5" s="26" t="str">
        <x:v>Direct URL / Link</x:v>
      </x:c>
      <x:c r="G5" s="26" t="str">
        <x:v>Line Total (ZAR)</x:v>
      </x:c>
      <x:c r="H5" s="26" t="str">
        <x:v>System / Purpose</x:v>
      </x:c>
      <x:c r="I5" s="26" t="str">
        <x:v>Procurement Note</x:v>
      </x:c>
    </x:row>
    <x:row r="6">
      <x:c r="A6" s="32" t="str">
        <x:v>HDPE Sheet 6mm, 2000 x 1000 mm</x:v>
      </x:c>
      <x:c r="B6" s="32" t="n">
        <x:v>1</x:v>
      </x:c>
      <x:c r="C6" s="34" t="n">
        <x:v>1943.5</x:v>
      </x:c>
      <x:c r="D6" s="32" t="str">
        <x:v>Plastic World</x:v>
      </x:c>
      <x:c r="E6" s="32" t="str">
        <x:v>HDPNAT06,0X20001000</x:v>
      </x:c>
      <x:c r="F6" s="32" t="str">
        <x:v>https://plasticworld.co.za/shop/hdpe-sheet-6mm/</x:v>
      </x:c>
      <x:c r="G6" s="34" t="n">
        <x:f>B6*C6</x:f>
        <x:v>1943.5</x:v>
      </x:c>
      <x:c r="H6" s="32" t="str">
        <x:v>Chassis / armor</x:v>
      </x:c>
      <x:c r="I6" s="32" t="str">
        <x:v>Raw stock; only cut material is installed.</x:v>
      </x:c>
    </x:row>
    <x:row r="7">
      <x:c r="A7" s="32" t="str">
        <x:v>Mild Steel Flat Bar 60 x 6 mm x 6 m</x:v>
      </x:c>
      <x:c r="B7" s="32" t="n">
        <x:v>1</x:v>
      </x:c>
      <x:c r="C7" s="34" t="n">
        <x:v>393.14</x:v>
      </x:c>
      <x:c r="D7" s="32" t="str">
        <x:v>BUCO / Macsteel</x:v>
      </x:c>
      <x:c r="E7" s="32" t="str">
        <x:v>1074220</x:v>
      </x:c>
      <x:c r="F7" s="32" t="str">
        <x:v>https://www.buco.co.za/flat-bar-mild-steel-60x6-0mm-6-0m-1074220</x:v>
      </x:c>
      <x:c r="G7" s="34" t="n">
        <x:f>B7*C7</x:f>
        <x:v>393.14</x:v>
      </x:c>
      <x:c r="H7" s="32" t="str">
        <x:v>Weapon / structural metal</x:v>
      </x:c>
      <x:c r="I7" s="32" t="str">
        <x:v>Raw stock for lab cutting/machining.</x:v>
      </x:c>
    </x:row>
    <x:row r="8">
      <x:c r="A8" s="32" t="str">
        <x:v>Mild Steel Flat Bar 20 x 3 mm x 6 m</x:v>
      </x:c>
      <x:c r="B8" s="32" t="n">
        <x:v>1</x:v>
      </x:c>
      <x:c r="C8" s="34" t="n">
        <x:v>72.99</x:v>
      </x:c>
      <x:c r="D8" s="32" t="str">
        <x:v>BUCO</x:v>
      </x:c>
      <x:c r="E8" s="32" t="str">
        <x:v>1074215</x:v>
      </x:c>
      <x:c r="F8" s="32" t="str">
        <x:v>https://www.buco.co.za/flat-bar-mild-steel-20x3-0mm-x-6-0m-1074215</x:v>
      </x:c>
      <x:c r="G8" s="34" t="n">
        <x:f>B8*C8</x:f>
        <x:v>72.99</x:v>
      </x:c>
      <x:c r="H8" s="32" t="str">
        <x:v>Brackets / guards</x:v>
      </x:c>
      <x:c r="I8" s="32" t="str">
        <x:v>Raw stock for brackets, retainers and guards.</x:v>
      </x:c>
    </x:row>
    <x:row r="9">
      <x:c r="A9" s="32" t="str">
        <x:v>12V 160 RPM 37 mm Spur Gearmotor</x:v>
      </x:c>
      <x:c r="B9" s="32" t="n">
        <x:v>4</x:v>
      </x:c>
      <x:c r="C9" s="34" t="n">
        <x:v>182.85</x:v>
      </x:c>
      <x:c r="D9" s="32" t="str">
        <x:v>Micro Robotics</x:v>
      </x:c>
      <x:c r="E9" s="32" t="str">
        <x:v>GB37-500-160-12V</x:v>
      </x:c>
      <x:c r="F9" s="32" t="str">
        <x:v>https://www.robotics.org.za/GB37-500-160-12V</x:v>
      </x:c>
      <x:c r="G9" s="34" t="n">
        <x:f>B9*C9</x:f>
        <x:v>731.4</x:v>
      </x:c>
      <x:c r="H9" s="32" t="str">
        <x:v>Drive</x:v>
      </x:c>
      <x:c r="I9" s="32" t="str">
        <x:v>Four-wheel drive: two motors per side.</x:v>
      </x:c>
    </x:row>
    <x:row r="10">
      <x:c r="A10" s="32" t="str">
        <x:v>37 mm Gearmotor Mount</x:v>
      </x:c>
      <x:c r="B10" s="32" t="n">
        <x:v>4</x:v>
      </x:c>
      <x:c r="C10" s="34" t="n">
        <x:v>44.85</x:v>
      </x:c>
      <x:c r="D10" s="32" t="str">
        <x:v>Micro Robotics</x:v>
      </x:c>
      <x:c r="E10" s="32" t="str">
        <x:v>LIY-BRA37</x:v>
      </x:c>
      <x:c r="F10" s="32" t="str">
        <x:v>https://www.robotics.org.za/LIY-BRA37</x:v>
      </x:c>
      <x:c r="G10" s="34" t="n">
        <x:f>B10*C10</x:f>
        <x:v>179.4</x:v>
      </x:c>
      <x:c r="H10" s="32" t="str">
        <x:v>Drive mounting</x:v>
      </x:c>
      <x:c r="I10" s="32" t="str">
        <x:v>One mount per motor.</x:v>
      </x:c>
    </x:row>
    <x:row r="11">
      <x:c r="A11" s="32" t="str">
        <x:v>125 mm All-Terrain Wheels, pack of 2</x:v>
      </x:c>
      <x:c r="B11" s="32" t="n">
        <x:v>2</x:v>
      </x:c>
      <x:c r="C11" s="34" t="n">
        <x:v>239</x:v>
      </x:c>
      <x:c r="D11" s="32" t="str">
        <x:v>Communica</x:v>
      </x:c>
      <x:c r="E11" s="32" t="str">
        <x:v>BMT WHEELS X2 ALL TERRAIN CHROME</x:v>
      </x:c>
      <x:c r="F11" s="32" t="str">
        <x:v>https://www.communica.co.za/products/bmt-wheels-x2-all-terrain-chrome</x:v>
      </x:c>
      <x:c r="G11" s="34" t="n">
        <x:f>B11*C11</x:f>
        <x:v>478</x:v>
      </x:c>
      <x:c r="H11" s="32" t="str">
        <x:v>Drive</x:v>
      </x:c>
      <x:c r="I11" s="32" t="str">
        <x:v>Two packs provide four wheels.</x:v>
      </x:c>
    </x:row>
    <x:row r="12">
      <x:c r="A12" s="32" t="str">
        <x:v>Cytron Dual Motor Driver 20A, 6-30V</x:v>
      </x:c>
      <x:c r="B12" s="32" t="n">
        <x:v>1</x:v>
      </x:c>
      <x:c r="C12" s="34" t="n">
        <x:v>779.7</x:v>
      </x:c>
      <x:c r="D12" s="32" t="str">
        <x:v>Micro Robotics</x:v>
      </x:c>
      <x:c r="E12" s="32" t="str">
        <x:v>MDD20A</x:v>
      </x:c>
      <x:c r="F12" s="32" t="str">
        <x:v>https://www.robotics.org.za/MDD20A</x:v>
      </x:c>
      <x:c r="G12" s="34" t="n">
        <x:f>B12*C12</x:f>
        <x:v>779.7</x:v>
      </x:c>
      <x:c r="H12" s="32" t="str">
        <x:v>Independent left/right drive</x:v>
      </x:c>
      <x:c r="I12" s="32" t="str">
        <x:v>Independent two-channel brushed controller.</x:v>
      </x:c>
    </x:row>
    <x:row r="13">
      <x:c r="A13" s="32" t="str">
        <x:v>3S 11.1V 5000mAh LiPo Battery, XT60</x:v>
      </x:c>
      <x:c r="B13" s="32" t="n">
        <x:v>1</x:v>
      </x:c>
      <x:c r="C13" s="34" t="n">
        <x:v>950</x:v>
      </x:c>
      <x:c r="D13" s="32" t="str">
        <x:v>Scale RC</x:v>
      </x:c>
      <x:c r="E13" s="32" t="str">
        <x:v>BEAT-LIPO-5000-3S</x:v>
      </x:c>
      <x:c r="F13" s="32" t="str">
        <x:v>https://scalerc.co.za/products/beat-lipo-5000mah-11-1v-3s-100c-lipo-battery-xt60-connector</x:v>
      </x:c>
      <x:c r="G13" s="34" t="n">
        <x:f>B13*C13</x:f>
        <x:v>950</x:v>
      </x:c>
      <x:c r="H13" s="32" t="str">
        <x:v>Robot power</x:v>
      </x:c>
      <x:c r="I13" s="32" t="str">
        <x:v>Final restraint/current verified in hardware.</x:v>
      </x:c>
    </x:row>
    <x:row r="14">
      <x:c r="A14" s="32" t="str">
        <x:v>RadioMaster Boxer 2.4GHz ELRS Transmitter</x:v>
      </x:c>
      <x:c r="B14" s="32" t="n">
        <x:v>1</x:v>
      </x:c>
      <x:c r="C14" s="34" t="n">
        <x:v>4999</x:v>
      </x:c>
      <x:c r="D14" s="32" t="str">
        <x:v>Flying Robot</x:v>
      </x:c>
      <x:c r="E14" s="32" t="str">
        <x:v>BOXER ELRS</x:v>
      </x:c>
      <x:c r="F14" s="32" t="str">
        <x:v>https://flyingrobot.co/products/radiomaster-boxer-radio-controller-2-4ghz</x:v>
      </x:c>
      <x:c r="G14" s="34" t="n">
        <x:f>B14*C14</x:f>
        <x:v>4999</x:v>
      </x:c>
      <x:c r="H14" s="32" t="str">
        <x:v>2.4 GHz RC</x:v>
      </x:c>
      <x:c r="I14" s="32" t="str">
        <x:v>ELRS 2.4 GHz variant.</x:v>
      </x:c>
    </x:row>
    <x:row r="15">
      <x:c r="A15" s="32" t="str">
        <x:v>RadioMaster ER4 2.4GHz ELRS PWM Receiver</x:v>
      </x:c>
      <x:c r="B15" s="32" t="n">
        <x:v>1</x:v>
      </x:c>
      <x:c r="C15" s="34" t="n">
        <x:v>579</x:v>
      </x:c>
      <x:c r="D15" s="32" t="str">
        <x:v>Flying Robot</x:v>
      </x:c>
      <x:c r="E15" s="32" t="str">
        <x:v>ER4</x:v>
      </x:c>
      <x:c r="F15" s="32" t="str">
        <x:v>https://flyingrobot.co/products/er4-2-4ghz-elrs-pwm-receiver</x:v>
      </x:c>
      <x:c r="G15" s="34" t="n">
        <x:f>B15*C15</x:f>
        <x:v>579</x:v>
      </x:c>
      <x:c r="H15" s="32" t="str">
        <x:v>2.4 GHz RC receiver</x:v>
      </x:c>
      <x:c r="I15" s="32" t="str">
        <x:v>Reconfirm stock at procurement.</x:v>
      </x:c>
    </x:row>
    <x:row r="16">
      <x:c r="A16" s="32" t="str">
        <x:v>RadioMaster 6200mAh 2S Transmitter Battery</x:v>
      </x:c>
      <x:c r="B16" s="32" t="n">
        <x:v>1</x:v>
      </x:c>
      <x:c r="C16" s="34" t="n">
        <x:v>879</x:v>
      </x:c>
      <x:c r="D16" s="32" t="str">
        <x:v>Flying Robot</x:v>
      </x:c>
      <x:c r="E16" s="32" t="str">
        <x:v>RMA064 / 6200mAh 2S Boxer</x:v>
      </x:c>
      <x:c r="F16" s="32" t="str">
        <x:v>https://flyingrobot.co/products/radiomaster-6200mah-2s-lipo-transmitter-battery-for-tx16s-and-boxer</x:v>
      </x:c>
      <x:c r="G16" s="34" t="n">
        <x:f>B16*C16</x:f>
        <x:v>879</x:v>
      </x:c>
      <x:c r="H16" s="32" t="str">
        <x:v>Transmitter power</x:v>
      </x:c>
      <x:c r="I16" s="32" t="str">
        <x:v>For Boxer transmitter.</x:v>
      </x:c>
    </x:row>
    <x:row r="17">
      <x:c r="A17" s="32" t="str">
        <x:v>Raspberry Pi Pico 2W</x:v>
      </x:c>
      <x:c r="B17" s="32" t="n">
        <x:v>1</x:v>
      </x:c>
      <x:c r="C17" s="34" t="n">
        <x:v>158.7</x:v>
      </x:c>
      <x:c r="D17" s="32" t="str">
        <x:v>Micro Robotics</x:v>
      </x:c>
      <x:c r="E17" s="32" t="str">
        <x:v>PICO-2W</x:v>
      </x:c>
      <x:c r="F17" s="32" t="str">
        <x:v>https://www.robotics.org.za/PICO-2W</x:v>
      </x:c>
      <x:c r="G17" s="34" t="n">
        <x:f>B17*C17</x:f>
        <x:v>158.7</x:v>
      </x:c>
      <x:c r="H17" s="32" t="str">
        <x:v>Control / interface</x:v>
      </x:c>
      <x:c r="I17" s="32" t="str">
        <x:v>Operator RC remains the external 2.4 GHz link.</x:v>
      </x:c>
    </x:row>
    <x:row r="18">
      <x:c r="A18" s="32" t="str">
        <x:v>Waveshare ST3215 Serial Bus Servo, 30 kg.cm</x:v>
      </x:c>
      <x:c r="B18" s="32" t="n">
        <x:v>3</x:v>
      </x:c>
      <x:c r="C18" s="34" t="n">
        <x:v>539.35</x:v>
      </x:c>
      <x:c r="D18" s="32" t="str">
        <x:v>Micro Robotics</x:v>
      </x:c>
      <x:c r="E18" s="32" t="str">
        <x:v>W22414</x:v>
      </x:c>
      <x:c r="F18" s="32" t="str">
        <x:v>https://www.robotics.org.za/W22414</x:v>
      </x:c>
      <x:c r="G18" s="34" t="n">
        <x:f>B18*C18</x:f>
        <x:v>1618.0500000000002</x:v>
      </x:c>
      <x:c r="H18" s="32" t="str">
        <x:v>Hammer x2 + torso rotation</x:v>
      </x:c>
      <x:c r="I18" s="32" t="str">
        <x:v>Final mounting/load verified physically.</x:v>
      </x:c>
    </x:row>
    <x:row r="19">
      <x:c r="A19" s="32" t="str">
        <x:v>Waveshare ST/SC Serial Bus Servo Driver</x:v>
      </x:c>
      <x:c r="B19" s="32" t="n">
        <x:v>1</x:v>
      </x:c>
      <x:c r="C19" s="34" t="n">
        <x:v>102.35</x:v>
      </x:c>
      <x:c r="D19" s="32" t="str">
        <x:v>Micro Robotics</x:v>
      </x:c>
      <x:c r="E19" s="32" t="str">
        <x:v>W25514</x:v>
      </x:c>
      <x:c r="F19" s="32" t="str">
        <x:v>https://www.robotics.org.za/motors-controllers/W25514</x:v>
      </x:c>
      <x:c r="G19" s="34" t="n">
        <x:f>B19*C19</x:f>
        <x:v>102.35</x:v>
      </x:c>
      <x:c r="H19" s="32" t="str">
        <x:v>Servo interface</x:v>
      </x:c>
      <x:c r="I19" s="32" t="str">
        <x:v>UART servo interface/power adapter.</x:v>
      </x:c>
    </x:row>
    <x:row r="20">
      <x:c r="A20" s="32" t="str">
        <x:v>Servo Wire Extension Kit, 4 leads</x:v>
      </x:c>
      <x:c r="B20" s="32" t="n">
        <x:v>2</x:v>
      </x:c>
      <x:c r="C20" s="34" t="n">
        <x:v>20.7</x:v>
      </x:c>
      <x:c r="D20" s="32" t="str">
        <x:v>Micro Robotics</x:v>
      </x:c>
      <x:c r="E20" s="32" t="str">
        <x:v>SERVO-KIT</x:v>
      </x:c>
      <x:c r="F20" s="32" t="str">
        <x:v>https://www.robotics.org.za/SERVO-KIT</x:v>
      </x:c>
      <x:c r="G20" s="34" t="n">
        <x:f>B20*C20</x:f>
        <x:v>41.4</x:v>
      </x:c>
      <x:c r="H20" s="32" t="str">
        <x:v>Control wiring</x:v>
      </x:c>
      <x:c r="I20" s="32" t="str">
        <x:v>Two kits for actuator/control routing.</x:v>
      </x:c>
    </x:row>
    <x:row r="21">
      <x:c r="A21" s="32" t="str">
        <x:v>12V 4100 RPM 775 Brushed DC Motor, 5 mm shaft</x:v>
      </x:c>
      <x:c r="B21" s="32" t="n">
        <x:v>1</x:v>
      </x:c>
      <x:c r="C21" s="34" t="n">
        <x:v>331.35</x:v>
      </x:c>
      <x:c r="D21" s="32" t="str">
        <x:v>Mantech</x:v>
      </x:c>
      <x:c r="E21" s="32" t="str">
        <x:v>ME101116 / CHR-S775</x:v>
      </x:c>
      <x:c r="F21" s="32" t="str">
        <x:v>https://www.mantech.co.za/ProductInfo.aspx?Item=ME101116</x:v>
      </x:c>
      <x:c r="G21" s="34" t="n">
        <x:f>B21*C21</x:f>
        <x:v>331.35</x:v>
      </x:c>
      <x:c r="H21" s="32" t="str">
        <x:v>Cutter drive motor</x:v>
      </x:c>
      <x:c r="I21" s="32" t="str">
        <x:v>Candidate; coupling/load/guard verified before power test.</x:v>
      </x:c>
    </x:row>
    <x:row r="22">
      <x:c r="A22" s="32" t="str">
        <x:v>BTS7960 43A H-Bridge Motor Driver</x:v>
      </x:c>
      <x:c r="B22" s="32" t="n">
        <x:v>1</x:v>
      </x:c>
      <x:c r="C22" s="34" t="n">
        <x:v>102.35</x:v>
      </x:c>
      <x:c r="D22" s="32" t="str">
        <x:v>Micro Robotics</x:v>
      </x:c>
      <x:c r="E22" s="32" t="str">
        <x:v>BTS7960</x:v>
      </x:c>
      <x:c r="F22" s="32" t="str">
        <x:v>https://www.robotics.org.za/BTS7960</x:v>
      </x:c>
      <x:c r="G22" s="34" t="n">
        <x:f>B22*C22</x:f>
        <x:v>102.35</x:v>
      </x:c>
      <x:c r="H22" s="32" t="str">
        <x:v>Cutter motor controller</x:v>
      </x:c>
      <x:c r="I22" s="32" t="str">
        <x:v>Final current/thermal validation required.</x:v>
      </x:c>
    </x:row>
    <x:row r="23">
      <x:c r="A23" s="32" t="str">
        <x:v>625ZZ Bearings 5 x 16 x 5 mm, pack of 4</x:v>
      </x:c>
      <x:c r="B23" s="32" t="n">
        <x:v>1</x:v>
      </x:c>
      <x:c r="C23" s="34" t="n">
        <x:v>25.3</x:v>
      </x:c>
      <x:c r="D23" s="32" t="str">
        <x:v>Micro Robotics</x:v>
      </x:c>
      <x:c r="E23" s="32" t="str">
        <x:v>625ZZ</x:v>
      </x:c>
      <x:c r="F23" s="32" t="str">
        <x:v>https://www.robotics.org.za/625ZZ</x:v>
      </x:c>
      <x:c r="G23" s="34" t="n">
        <x:f>B23*C23</x:f>
        <x:v>25.3</x:v>
      </x:c>
      <x:c r="H23" s="32" t="str">
        <x:v>Cutter rotating assembly</x:v>
      </x:c>
      <x:c r="I23" s="32" t="str">
        <x:v>For supported shaft/coupling if required.</x:v>
      </x:c>
    </x:row>
    <x:row r="24">
      <x:c r="A24" s="32" t="str">
        <x:v>6 mm Shaft Collar, pack of 2</x:v>
      </x:c>
      <x:c r="B24" s="32" t="n">
        <x:v>2</x:v>
      </x:c>
      <x:c r="C24" s="34" t="n">
        <x:v>51.75</x:v>
      </x:c>
      <x:c r="D24" s="32" t="str">
        <x:v>Micro Robotics</x:v>
      </x:c>
      <x:c r="E24" s="32" t="str">
        <x:v>LM-SC006</x:v>
      </x:c>
      <x:c r="F24" s="32" t="str">
        <x:v>https://www.robotics.org.za/LM-SC006</x:v>
      </x:c>
      <x:c r="G24" s="34" t="n">
        <x:f>B24*C24</x:f>
        <x:v>103.5</x:v>
      </x:c>
      <x:c r="H24" s="32" t="str">
        <x:v>Shaft retention</x:v>
      </x:c>
      <x:c r="I24" s="32" t="str">
        <x:v>Drivetrain retention/spares.</x:v>
      </x:c>
    </x:row>
    <x:row r="25">
      <x:c r="A25" s="32" t="str">
        <x:v>Battery Isolator Switch 12V 100A</x:v>
      </x:c>
      <x:c r="B25" s="32" t="n">
        <x:v>1</x:v>
      </x:c>
      <x:c r="C25" s="34" t="n">
        <x:v>120.7</x:v>
      </x:c>
      <x:c r="D25" s="32" t="str">
        <x:v>AutoMarine</x:v>
      </x:c>
      <x:c r="E25" s="32" t="str">
        <x:v>SW101</x:v>
      </x:c>
      <x:c r="F25" s="32" t="str">
        <x:v>https://www.automarine.co.za/battery-isolator-switches/5545-battery-isolator-switch-12-volt-100-amp.html</x:v>
      </x:c>
      <x:c r="G25" s="34" t="n">
        <x:f>B25*C25</x:f>
        <x:v>120.7</x:v>
      </x:c>
      <x:c r="H25" s="32" t="str">
        <x:v>Mandatory main ON/OFF</x:v>
      </x:c>
      <x:c r="I25" s="32" t="str">
        <x:v>Accessible primary battery isolation.</x:v>
      </x:c>
    </x:row>
    <x:row r="26">
      <x:c r="A26" s="32" t="str">
        <x:v>Emergency Stop Mushroom Switch</x:v>
      </x:c>
      <x:c r="B26" s="32" t="n">
        <x:v>1</x:v>
      </x:c>
      <x:c r="C26" s="34" t="n">
        <x:v>128.8</x:v>
      </x:c>
      <x:c r="D26" s="32" t="str">
        <x:v>Micro Robotics</x:v>
      </x:c>
      <x:c r="E26" s="32" t="str">
        <x:v>FIT0156</x:v>
      </x:c>
      <x:c r="F26" s="32" t="str">
        <x:v>https://www.robotics.org.za/FIT0156</x:v>
      </x:c>
      <x:c r="G26" s="34" t="n">
        <x:f>B26*C26</x:f>
        <x:v>128.8</x:v>
      </x:c>
      <x:c r="H26" s="32" t="str">
        <x:v>Mandatory E-Stop</x:v>
      </x:c>
      <x:c r="I26" s="32" t="str">
        <x:v>Low-current NC control loop only.</x:v>
      </x:c>
    </x:row>
    <x:row r="27">
      <x:c r="A27" s="32" t="str">
        <x:v>12V 80A Power Relay / Contactor Candidate</x:v>
      </x:c>
      <x:c r="B27" s="32" t="n">
        <x:v>1</x:v>
      </x:c>
      <x:c r="C27" s="34" t="n">
        <x:v>102.52</x:v>
      </x:c>
      <x:c r="D27" s="32" t="str">
        <x:v>RS South Africa</x:v>
      </x:c>
      <x:c r="E27" s="32" t="str">
        <x:v>915-6679 / DG85C-7021-76-1012-R</x:v>
      </x:c>
      <x:c r="F27" s="32" t="str">
        <x:v>https://za.rs-online.com/web/p/power-relays/9156679</x:v>
      </x:c>
      <x:c r="G27" s="34" t="n">
        <x:f>B27*C27</x:f>
        <x:v>102.52</x:v>
      </x:c>
      <x:c r="H27" s="32" t="str">
        <x:v>E-Stop high-current isolation</x:v>
      </x:c>
      <x:c r="I27" s="32" t="str">
        <x:v>Final DC interruption rating verified against loads.</x:v>
      </x:c>
    </x:row>
    <x:row r="28">
      <x:c r="A28" s="32" t="str">
        <x:v>30A 32V Blade Fuse Holder</x:v>
      </x:c>
      <x:c r="B28" s="32" t="n">
        <x:v>1</x:v>
      </x:c>
      <x:c r="C28" s="34" t="n">
        <x:v>28.75</x:v>
      </x:c>
      <x:c r="D28" s="32" t="str">
        <x:v>Communica</x:v>
      </x:c>
      <x:c r="E28" s="32" t="str">
        <x:v>CQ211K MOD</x:v>
      </x:c>
      <x:c r="F28" s="32" t="str">
        <x:v>https://www.communica.co.za/products/cq211k-mod</x:v>
      </x:c>
      <x:c r="G28" s="34" t="n">
        <x:f>B28*C28</x:f>
        <x:v>28.75</x:v>
      </x:c>
      <x:c r="H28" s="32" t="str">
        <x:v>Protection</x:v>
      </x:c>
      <x:c r="I28" s="32" t="str">
        <x:v>Final fuse rating verified after current tests.</x:v>
      </x:c>
    </x:row>
    <x:row r="29">
      <x:c r="A29" s="32" t="str">
        <x:v>30A 32V Blade Fuse</x:v>
      </x:c>
      <x:c r="B29" s="32" t="n">
        <x:v>3</x:v>
      </x:c>
      <x:c r="C29" s="34" t="n">
        <x:v>3.28</x:v>
      </x:c>
      <x:c r="D29" s="32" t="str">
        <x:v>Communica</x:v>
      </x:c>
      <x:c r="E29" s="32" t="str">
        <x:v>30A BLADE FUSE</x:v>
      </x:c>
      <x:c r="F29" s="32" t="str">
        <x:v>https://www.communica.co.za/products/30a-blade-fuse</x:v>
      </x:c>
      <x:c r="G29" s="34" t="n">
        <x:f>B29*C29</x:f>
        <x:v>9.84</x:v>
      </x:c>
      <x:c r="H29" s="32" t="str">
        <x:v>Protection + spares</x:v>
      </x:c>
      <x:c r="I29" s="32" t="str">
        <x:v>One candidate installed + two spares.</x:v>
      </x:c>
    </x:row>
    <x:row r="30">
      <x:c r="A30" s="32" t="str">
        <x:v>XT60 Connector Pair, 60A</x:v>
      </x:c>
      <x:c r="B30" s="32" t="n">
        <x:v>3</x:v>
      </x:c>
      <x:c r="C30" s="34" t="n">
        <x:v>34.5</x:v>
      </x:c>
      <x:c r="D30" s="32" t="str">
        <x:v>Communica</x:v>
      </x:c>
      <x:c r="E30" s="32" t="str">
        <x:v>RC-XT60 CONNECTOR PAIR</x:v>
      </x:c>
      <x:c r="F30" s="32" t="str">
        <x:v>https://www.communica.co.za/products/rc-xt60-connector-pair</x:v>
      </x:c>
      <x:c r="G30" s="34" t="n">
        <x:f>B30*C30</x:f>
        <x:v>103.5</x:v>
      </x:c>
      <x:c r="H30" s="32" t="str">
        <x:v>Power connectors</x:v>
      </x:c>
      <x:c r="I30" s="32" t="str">
        <x:v>Battery/distribution plus spare.</x:v>
      </x:c>
    </x:row>
    <x:row r="31">
      <x:c r="A31" s="32" t="str">
        <x:v>XT60 Battery Connector Kit with 12AWG Cable, 30cm</x:v>
      </x:c>
      <x:c r="B31" s="32" t="n">
        <x:v>2</x:v>
      </x:c>
      <x:c r="C31" s="34" t="n">
        <x:v>125.35</x:v>
      </x:c>
      <x:c r="D31" s="32" t="str">
        <x:v>Micro Robotics</x:v>
      </x:c>
      <x:c r="E31" s="32" t="str">
        <x:v>XT60-12AWG-30CM</x:v>
      </x:c>
      <x:c r="F31" s="32" t="str">
        <x:v>https://www.robotics.org.za/power-battery-solar/battery-connectors</x:v>
      </x:c>
      <x:c r="G31" s="34" t="n">
        <x:f>B31*C31</x:f>
        <x:v>250.7</x:v>
      </x:c>
      <x:c r="H31" s="32" t="str">
        <x:v>Main power wiring</x:v>
      </x:c>
      <x:c r="I31" s="32" t="str">
        <x:v>High-current cable assemblies.</x:v>
      </x:c>
    </x:row>
    <x:row r="32">
      <x:c r="A32" s="32" t="str">
        <x:v>Buck Regulator 6-24V to 5V 2A</x:v>
      </x:c>
      <x:c r="B32" s="32" t="n">
        <x:v>1</x:v>
      </x:c>
      <x:c r="C32" s="34" t="n">
        <x:v>55.2</x:v>
      </x:c>
      <x:c r="D32" s="32" t="str">
        <x:v>Micro Robotics</x:v>
      </x:c>
      <x:c r="E32" s="32" t="str">
        <x:v>CHR-624-2A</x:v>
      </x:c>
      <x:c r="F32" s="32" t="str">
        <x:v>https://www.robotics.org.za/index.php?page=14&amp;path=173&amp;route=product%2Fcategory</x:v>
      </x:c>
      <x:c r="G32" s="34" t="n">
        <x:f>B32*C32</x:f>
        <x:v>55.2</x:v>
      </x:c>
      <x:c r="H32" s="32" t="str">
        <x:v>5V control power</x:v>
      </x:c>
      <x:c r="I32" s="32" t="str">
        <x:v>For low-voltage controller/logic.</x:v>
      </x:c>
    </x:row>
    <x:row r="33">
      <x:c r="A33" s="32" t="str">
        <x:v>Heatshrink Kit, Black &amp; Red 7mm</x:v>
      </x:c>
      <x:c r="B33" s="32" t="n">
        <x:v>1</x:v>
      </x:c>
      <x:c r="C33" s="34" t="n">
        <x:v>12.65</x:v>
      </x:c>
      <x:c r="D33" s="32" t="str">
        <x:v>Micro Robotics</x:v>
      </x:c>
      <x:c r="E33" s="32" t="str">
        <x:v>HS07RB-KIT</x:v>
      </x:c>
      <x:c r="F33" s="32" t="str">
        <x:v>https://www.robotics.org.za/HS07RB-KIT</x:v>
      </x:c>
      <x:c r="G33" s="34" t="n">
        <x:f>B33*C33</x:f>
        <x:v>12.65</x:v>
      </x:c>
      <x:c r="H33" s="32" t="str">
        <x:v>Electrical insulation</x:v>
      </x:c>
      <x:c r="I33" s="32" t="str">
        <x:v>Power-joint insulation/strain relief.</x:v>
      </x:c>
    </x:row>
    <x:row r="34">
      <x:c r="A34" s="32" t="str">
        <x:v>M3 Nut/Bolt/Spacer Kit, 20 pack</x:v>
      </x:c>
      <x:c r="B34" s="32" t="n">
        <x:v>2</x:v>
      </x:c>
      <x:c r="C34" s="34" t="n">
        <x:v>25.3</x:v>
      </x:c>
      <x:c r="D34" s="32" t="str">
        <x:v>Micro Robotics</x:v>
      </x:c>
      <x:c r="E34" s="32" t="str">
        <x:v>M3-L6-KIT</x:v>
      </x:c>
      <x:c r="F34" s="32" t="str">
        <x:v>https://www.robotics.org.za/M3-L6-KIT</x:v>
      </x:c>
      <x:c r="G34" s="34" t="n">
        <x:f>B34*C34</x:f>
        <x:v>50.6</x:v>
      </x:c>
      <x:c r="H34" s="32" t="str">
        <x:v>Electronics fastening</x:v>
      </x:c>
      <x:c r="I34" s="32" t="str">
        <x:v>Mounting hardware.</x:v>
      </x:c>
    </x:row>
    <x:row r="35">
      <x:c r="A35" s="32" t="str">
        <x:v>M3 x 10mm Countersunk Self-Tapping Screws, 20 pack</x:v>
      </x:c>
      <x:c r="B35" s="32" t="n">
        <x:v>2</x:v>
      </x:c>
      <x:c r="C35" s="34" t="n">
        <x:v>5.75</x:v>
      </x:c>
      <x:c r="D35" s="32" t="str">
        <x:v>Micro Robotics</x:v>
      </x:c>
      <x:c r="E35" s="32" t="str">
        <x:v>M3-L10-ST</x:v>
      </x:c>
      <x:c r="F35" s="32" t="str">
        <x:v>https://www.robotics.org.za/index.php?page=48&amp;path=173&amp;route=product%2Fcategory</x:v>
      </x:c>
      <x:c r="G35" s="34" t="n">
        <x:f>B35*C35</x:f>
        <x:v>11.5</x:v>
      </x:c>
      <x:c r="H35" s="32" t="str">
        <x:v>Panel fastening</x:v>
      </x:c>
      <x:c r="I35" s="32" t="str">
        <x:v>Light panel/retainer fastening.</x:v>
      </x:c>
    </x:row>
    <x:row r="36">
      <x:c r="A36" s="32" t="str">
        <x:v>LM35 Gravity Temperature Sensor</x:v>
      </x:c>
      <x:c r="B36" s="32" t="n">
        <x:v>1</x:v>
      </x:c>
      <x:c r="C36" s="34" t="n">
        <x:v>74.75</x:v>
      </x:c>
      <x:c r="D36" s="32" t="str">
        <x:v>Micro Robotics</x:v>
      </x:c>
      <x:c r="E36" s="32" t="str">
        <x:v>DFR0023</x:v>
      </x:c>
      <x:c r="F36" s="32" t="str">
        <x:v>https://www.robotics.org.za/DFR0023</x:v>
      </x:c>
      <x:c r="G36" s="34" t="n">
        <x:f>B36*C36</x:f>
        <x:v>74.75</x:v>
      </x:c>
      <x:c r="H36" s="32" t="str">
        <x:v>Telemetry / health</x:v>
      </x:c>
      <x:c r="I36" s="32" t="str">
        <x:v>Temperature monitoring.</x:v>
      </x:c>
    </x:row>
    <x:row r="37">
      <x:c r="A37" s="32" t="str">
        <x:v>5V Active Buzzer, 4 pack</x:v>
      </x:c>
      <x:c r="B37" s="32" t="n">
        <x:v>1</x:v>
      </x:c>
      <x:c r="C37" s="34" t="n">
        <x:v>18.4</x:v>
      </x:c>
      <x:c r="D37" s="32" t="str">
        <x:v>Micro Robotics</x:v>
      </x:c>
      <x:c r="E37" s="32" t="str">
        <x:v>BUZ-50V-PCB</x:v>
      </x:c>
      <x:c r="F37" s="32" t="str">
        <x:v>https://www.robotics.org.za/BUZ-50V-PCB</x:v>
      </x:c>
      <x:c r="G37" s="34" t="n">
        <x:f>B37*C37</x:f>
        <x:v>18.4</x:v>
      </x:c>
      <x:c r="H37" s="32" t="str">
        <x:v>Warning indication</x:v>
      </x:c>
      <x:c r="I37" s="32" t="str">
        <x:v>Audible status/fault indication.</x:v>
      </x:c>
    </x:row>
    <x:row r="38">
      <x:c r="A38" s="32" t="str">
        <x:v>EVPEAK E3 LiPo Charger, 220V input</x:v>
      </x:c>
      <x:c r="B38" s="32" t="n">
        <x:v>1</x:v>
      </x:c>
      <x:c r="C38" s="34" t="n">
        <x:v>450</x:v>
      </x:c>
      <x:c r="D38" s="32" t="str">
        <x:v>Smitties Hobbies</x:v>
      </x:c>
      <x:c r="E38" s="32" t="str">
        <x:v>EVPEAK E3</x:v>
      </x:c>
      <x:c r="F38" s="32" t="str">
        <x:v>https://www.smittieshobbies.com/batteries-chargers</x:v>
      </x:c>
      <x:c r="G38" s="34" t="n">
        <x:f>B38*C38</x:f>
        <x:v>450</x:v>
      </x:c>
      <x:c r="H38" s="32" t="str">
        <x:v>Ground charging equipment</x:v>
      </x:c>
      <x:c r="I38" s="32" t="str">
        <x:v>Verify connector/balance compatibility before use.</x:v>
      </x:c>
    </x:row>
    <x:row r="39">
      <x:c r="A39" s="32" t="str">
        <x:v>XT60 Charger Cable</x:v>
      </x:c>
      <x:c r="B39" s="32" t="n">
        <x:v>1</x:v>
      </x:c>
      <x:c r="C39" s="34" t="n">
        <x:v>69</x:v>
      </x:c>
      <x:c r="D39" s="32" t="str">
        <x:v>Smitties Hobbies</x:v>
      </x:c>
      <x:c r="E39" s="32" t="str">
        <x:v>XT60 CHARGER CABLE</x:v>
      </x:c>
      <x:c r="F39" s="32" t="str">
        <x:v>https://www.smittieshobbies.com/batteries-chargers</x:v>
      </x:c>
      <x:c r="G39" s="34" t="n">
        <x:f>B39*C39</x:f>
        <x:v>69</x:v>
      </x:c>
      <x:c r="H39" s="32" t="str">
        <x:v>Ground charging equipment</x:v>
      </x:c>
      <x:c r="I39" s="32" t="str">
        <x:v>Charge lead.</x:v>
      </x:c>
    </x:row>
    <x:row r="40">
      <x:c r="A40" s="32" t="str">
        <x:v>Battery Strap 20 x 200 mm, pack of 2</x:v>
      </x:c>
      <x:c r="B40" s="32" t="n">
        <x:v>1</x:v>
      </x:c>
      <x:c r="C40" s="34" t="n">
        <x:v>30</x:v>
      </x:c>
      <x:c r="D40" s="32" t="str">
        <x:v>Smitties Hobbies</x:v>
      </x:c>
      <x:c r="E40" s="32" t="str">
        <x:v>BATTERY STRAP 20x200 2PKT</x:v>
      </x:c>
      <x:c r="F40" s="32" t="str">
        <x:v>https://www.smittieshobbies.com/li-po-and-li-fe-batteries</x:v>
      </x:c>
      <x:c r="G40" s="34" t="n">
        <x:f>B40*C40</x:f>
        <x:v>30</x:v>
      </x:c>
      <x:c r="H40" s="32" t="str">
        <x:v>Battery restraint</x:v>
      </x:c>
      <x:c r="I40" s="32" t="str">
        <x:v>Used with rigid final battery retention.</x:v>
      </x:c>
    </x:row>
    <x:row r="41">
      <x:c r="A41" s="40" t="str">
        <x:v>TOTAL PROCUREMENT COST</x:v>
      </x:c>
      <x:c r="B41" s="40"/>
      <x:c r="C41" s="41"/>
      <x:c r="D41" s="40"/>
      <x:c r="E41" s="40"/>
      <x:c r="F41" s="40"/>
      <x:c r="G41" s="41" t="n">
        <x:f>SUM(G6:G40)</x:f>
        <x:v>15985.040000000003</x:v>
      </x:c>
      <x:c r="H41" s="40" t="str">
        <x:v>FINAL TOTAL - RED AS REQUIRED</x:v>
      </x:c>
      <x:c r="I41" s="40"/>
    </x:row>
  </x:sheetData>
  <x:mergeCells>
    <x:mergeCell ref="A1:I1"/>
    <x:mergeCell ref="A2:I2"/>
    <x:mergeCell ref="A3:I3"/>
    <x:mergeCell ref="A41:F41"/>
    <x:mergeCell ref="H41:I4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34" hidden="0" customWidth="1"/>
    <x:col min="4" max="4" width="42" hidden="0" customWidth="1"/>
    <x:col min="5" max="5" width="46" hidden="0" customWidth="1"/>
    <x:col min="6" max="6" width="30" hidden="0" customWidth="1"/>
  </x:cols>
  <x:sheetData>
    <x:row r="1">
      <x:c r="A1" s="47" t="str">
        <x:v>SentinelT Procurement &amp; Physical Verification Notes</x:v>
      </x:c>
      <x:c r="B1" s="47"/>
      <x:c r="C1" s="47"/>
      <x:c r="D1" s="47"/>
      <x:c r="E1" s="47"/>
      <x:c r="F1" s="47"/>
    </x:row>
    <x:row r="3">
      <x:c r="A3" s="25" t="str">
        <x:v>Topic</x:v>
      </x:c>
      <x:c r="B3" s="25" t="str">
        <x:v>Current Status</x:v>
      </x:c>
      <x:c r="C3" s="25" t="str">
        <x:v>Funded Hardware</x:v>
      </x:c>
      <x:c r="D3" s="25" t="str">
        <x:v>Digital Evidence</x:v>
      </x:c>
      <x:c r="E3" s="25" t="str">
        <x:v>Hardware-Stage Verification</x:v>
      </x:c>
      <x:c r="F3" s="25" t="str">
        <x:v>Required Outcome</x:v>
      </x:c>
    </x:row>
    <x:row r="4">
      <x:c r="A4" s="32" t="str">
        <x:v>Footprint</x:v>
      </x:c>
      <x:c r="B4" s="32" t="str">
        <x:v>Digital PASS</x:v>
      </x:c>
      <x:c r="C4" s="32" t="str">
        <x:v>All installed components/raw stock</x:v>
      </x:c>
      <x:c r="D4" s="32" t="str">
        <x:v>Current model approx. 316.10 x 466.11 x 405.99 mm; 204 meshes; Frames 0-180; 0 failures.</x:v>
      </x:c>
      <x:c r="E4" s="32" t="str">
        <x:v>Measure complete assembled robot with all mechanisms fitted.</x:v>
      </x:c>
      <x:c r="F4" s="32" t="str">
        <x:v>Remain within 500 x 500 mm.</x:v>
      </x:c>
    </x:row>
    <x:row r="5">
      <x:c r="A5" s="32" t="str">
        <x:v>Mass</x:v>
      </x:c>
      <x:c r="B5" s="32" t="str">
        <x:v>Physical measurement pending</x:v>
      </x:c>
      <x:c r="C5" s="32" t="str">
        <x:v>All robot hardware in BOM</x:v>
      </x:c>
      <x:c r="D5" s="32" t="str">
        <x:v>CAD packaging and mass-planning evidence.</x:v>
      </x:c>
      <x:c r="E5" s="32" t="str">
        <x:v>Weigh complete robot on calibrated scale; reduce material if required.</x:v>
      </x:c>
      <x:c r="F5" s="32" t="str">
        <x:v>Strictly below 5 kg.</x:v>
      </x:c>
    </x:row>
    <x:row r="6">
      <x:c r="A6" s="32" t="str">
        <x:v>RC</x:v>
      </x:c>
      <x:c r="B6" s="32" t="str">
        <x:v>Architecture selected</x:v>
      </x:c>
      <x:c r="C6" s="32" t="str">
        <x:v>Boxer 2.4GHz ELRS + ER4 receiver</x:v>
      </x:c>
      <x:c r="D6" s="32" t="str">
        <x:v>Control framework and flowchart.</x:v>
      </x:c>
      <x:c r="E6" s="32" t="str">
        <x:v>Bind, map channels, verify failsafe and range.</x:v>
      </x:c>
      <x:c r="F6" s="32" t="str">
        <x:v>Human-operated 2.4GHz RC.</x:v>
      </x:c>
    </x:row>
    <x:row r="7">
      <x:c r="A7" s="32" t="str">
        <x:v>Main ON/OFF</x:v>
      </x:c>
      <x:c r="B7" s="32" t="str">
        <x:v>Designed/funded</x:v>
      </x:c>
      <x:c r="C7" s="32" t="str">
        <x:v>12V 100A isolator</x:v>
      </x:c>
      <x:c r="D7" s="32" t="str">
        <x:v>Annotated schematic.</x:v>
      </x:c>
      <x:c r="E7" s="32" t="str">
        <x:v>Confirm accessibility and isolation under installed load.</x:v>
      </x:c>
      <x:c r="F7" s="32" t="str">
        <x:v>Mandatory accessible ON/OFF.</x:v>
      </x:c>
    </x:row>
    <x:row r="8">
      <x:c r="A8" s="32" t="str">
        <x:v>E-Stop</x:v>
      </x:c>
      <x:c r="B8" s="32" t="str">
        <x:v>Designed/funded</x:v>
      </x:c>
      <x:c r="C8" s="32" t="str">
        <x:v>NC E-Stop + separate high-current relay</x:v>
      </x:c>
      <x:c r="D8" s="32" t="str">
        <x:v>Corrected low-current control-loop schematic.</x:v>
      </x:c>
      <x:c r="E8" s="32" t="str">
        <x:v>Verify relay rating and actuator power interruption.</x:v>
      </x:c>
      <x:c r="F8" s="32" t="str">
        <x:v>Immediate power-disable function.</x:v>
      </x:c>
    </x:row>
    <x:row r="9">
      <x:c r="A9" s="32" t="str">
        <x:v>Drive</x:v>
      </x:c>
      <x:c r="B9" s="32" t="str">
        <x:v>Architecture corrected</x:v>
      </x:c>
      <x:c r="C9" s="32" t="str">
        <x:v>4 motors + Cytron MDD20A</x:v>
      </x:c>
      <x:c r="D9" s="32" t="str">
        <x:v>Differential-drive logic.</x:v>
      </x:c>
      <x:c r="E9" s="32" t="str">
        <x:v>Direction, calibration, current and thermal testing.</x:v>
      </x:c>
      <x:c r="F9" s="32" t="str">
        <x:v>Independent left/right drive.</x:v>
      </x:c>
    </x:row>
    <x:row r="10">
      <x:c r="A10" s="32" t="str">
        <x:v>Cutter / hammers / torso</x:v>
      </x:c>
      <x:c r="B10" s="32" t="str">
        <x:v>Candidate hardware funded</x:v>
      </x:c>
      <x:c r="C10" s="32" t="str">
        <x:v>775 motor + BTS7960 + 3 ST3215 servos + raw metal</x:v>
      </x:c>
      <x:c r="D10" s="32" t="str">
        <x:v>Blender kinematic mechanism simulation.</x:v>
      </x:c>
      <x:c r="E10" s="32" t="str">
        <x:v>Fit, guard and verify loads/current in controlled hardware tests.</x:v>
      </x:c>
      <x:c r="F10" s="32" t="str">
        <x:v>No projectiles, flames or liquids.</x:v>
      </x:c>
    </x:row>
  </x:sheetData>
  <x:mergeCells>
    <x:mergeCell ref="A1:F1"/>
  </x:mergeCells>
  <x:pageMargins left="0.7" right="0.7" top="0.75" bottom="0.75" header="0.3" footer="0.3"/>
</x:worksheet>
</file>