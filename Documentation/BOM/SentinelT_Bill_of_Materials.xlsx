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e9c8e0a0b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9367dcbaae5e4fe1"/>
    <x:sheet xmlns:r="http://schemas.openxmlformats.org/officeDocument/2006/relationships" name="Submission_Checklist" sheetId="2" r:id="R995a0a3f78ed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 #,##0.00"/>
    <x:numFmt numFmtId="201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C00000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4E78"/>
      </x:patternFill>
    </x:fill>
    <x:fill>
      <x:patternFill patternType="solid">
        <x:fgColor rgb="FFFDECEC"/>
      </x:patternFill>
    </x:fill>
    <x:fill>
      <x:patternFill patternType="solid">
        <x:fgColor rgb="FFFFF2CC"/>
      </x:patternFill>
    </x:fill>
    <x:fill>
      <x:patternFill patternType="solid">
        <x:fgColor rgb="FFE8EEF7"/>
      </x:patternFill>
    </x:fill>
    <x:fill>
      <x:patternFill patternType="solid">
        <x:fgColor rgb="FFFDECEC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4fc98893c45fe" /><Relationship Type="http://schemas.openxmlformats.org/officeDocument/2006/relationships/theme" Target="/xl/theme/theme1.xml" Id="R6d249d1f85e042dd" /><Relationship Type="http://schemas.openxmlformats.org/officeDocument/2006/relationships/sharedStrings" Target="/xl/sharedStrings.xml" Id="Rb94031a2c9404400" /><Relationship Type="http://schemas.openxmlformats.org/officeDocument/2006/relationships/worksheet" Target="/xl/worksheets/sheet1.xml" Id="R9367dcbaae5e4fe1" /><Relationship Type="http://schemas.openxmlformats.org/officeDocument/2006/relationships/worksheet" Target="/xl/worksheets/sheet2.xml" Id="R995a0a3f78ed4f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6" hidden="0" customWidth="1"/>
    <x:col min="4" max="4" width="22" hidden="0" customWidth="1"/>
    <x:col min="5" max="5" width="20" hidden="0" customWidth="1"/>
    <x:col min="6" max="6" width="38" hidden="0" customWidth="1"/>
    <x:col min="7" max="7" width="16" hidden="0" customWidth="1"/>
    <x:col min="8" max="8" width="17" hidden="0" customWidth="1"/>
    <x:col min="9" max="9" width="36" hidden="0" customWidth="1"/>
  </x:cols>
  <x:sheetData>
    <x:row r="1" ht="28" customHeight="1">
      <x:c r="A1" s="5" t="str">
        <x:v>SentinelT Robo Rumble 2026 — Bill of Materials</x:v>
      </x:c>
      <x:c r="B1" s="5"/>
      <x:c r="C1" s="5"/>
      <x:c r="D1" s="5"/>
      <x:c r="E1" s="5"/>
      <x:c r="F1" s="5"/>
      <x:c r="G1" s="5"/>
      <x:c r="H1" s="5"/>
      <x:c r="I1" s="5"/>
    </x:row>
    <x:row r="2">
      <x:c r="A2" t="str">
        <x:v>Designer</x:v>
      </x:c>
      <x:c r="B2" t="str">
        <x:v>Thato Glen Assegaai</x:v>
      </x:c>
      <x:c r="C2" t="str">
        <x:v>Category</x:v>
      </x:c>
      <x:c r="D2" t="str">
        <x:v>Robo Wars – RC Combat</x:v>
      </x:c>
      <x:c r="E2" t="str">
        <x:v>Mass Budget</x:v>
      </x:c>
      <x:c r="F2" t="str">
        <x:v>4.650 kg</x:v>
      </x:c>
      <x:c r="G2" t="str">
        <x:v>Mass Limit</x:v>
      </x:c>
      <x:c r="H2" t="str">
        <x:v>&lt; 5.000 kg</x:v>
      </x:c>
      <x:c r="I2" t="str">
        <x:v>PARTIAL PROCUREMENT DATA</x:v>
      </x:c>
    </x:row>
    <x:row r="4">
      <x:c r="A4" s="14" t="str">
        <x:v>Component Name</x:v>
      </x:c>
      <x:c r="B4" s="14" t="str">
        <x:v>Quantity</x:v>
      </x:c>
      <x:c r="C4" s="14" t="str">
        <x:v>Cost per Unit (R)</x:v>
      </x:c>
      <x:c r="D4" s="14" t="str">
        <x:v>Supplier Name</x:v>
      </x:c>
      <x:c r="E4" s="14" t="str">
        <x:v>Supplier Stock Code</x:v>
      </x:c>
      <x:c r="F4" s="14" t="str">
        <x:v>Direct URL / Link</x:v>
      </x:c>
      <x:c r="G4" s="14" t="str">
        <x:v>Total Cost (R)</x:v>
      </x:c>
      <x:c r="H4" s="14" t="str">
        <x:v>Selection Status</x:v>
      </x:c>
      <x:c r="I4" s="14" t="str">
        <x:v>Notes</x:v>
      </x:c>
    </x:row>
    <x:row r="5">
      <x:c r="A5" s="20" t="str">
        <x:v>Chassis material / base plate</x:v>
      </x:c>
      <x:c r="B5" s="20" t="n">
        <x:v>1</x:v>
      </x:c>
      <x:c r="C5" s="22"/>
      <x:c r="D5" s="20" t="str">
        <x:v>TBD</x:v>
      </x:c>
      <x:c r="E5" s="20" t="str">
        <x:v>TBD</x:v>
      </x:c>
      <x:c r="F5" s="20" t="str">
        <x:v>TBD</x:v>
      </x:c>
      <x:c r="G5" s="22" t="str">
        <x:f>IF(ISNUMBER(C5),B5*C5,"TBD")</x:f>
        <x:v>TBD</x:v>
      </x:c>
      <x:c r="H5" s="20" t="str">
        <x:v>TBD</x:v>
      </x:c>
      <x:c r="I5" s="20" t="str">
        <x:v>Final material/thickness to be selected</x:v>
      </x:c>
    </x:row>
    <x:row r="6">
      <x:c r="A6" s="20" t="str">
        <x:v>Structural / armor material</x:v>
      </x:c>
      <x:c r="B6" s="20" t="n">
        <x:v>1</x:v>
      </x:c>
      <x:c r="C6" s="22"/>
      <x:c r="D6" s="20" t="str">
        <x:v>TBD</x:v>
      </x:c>
      <x:c r="E6" s="20" t="str">
        <x:v>TBD</x:v>
      </x:c>
      <x:c r="F6" s="20" t="str">
        <x:v>TBD</x:v>
      </x:c>
      <x:c r="G6" s="22" t="str">
        <x:f>IF(ISNUMBER(C6),B6*C6,"TBD")</x:f>
        <x:v>TBD</x:v>
      </x:c>
      <x:c r="H6" s="20" t="str">
        <x:v>TBD</x:v>
      </x:c>
      <x:c r="I6" s="20" t="str">
        <x:v>Outer armor and guards</x:v>
      </x:c>
    </x:row>
    <x:row r="7">
      <x:c r="A7" s="20" t="str">
        <x:v>Pololu 4743 50:1 12V 200RPM 37D metal gearmotor</x:v>
      </x:c>
      <x:c r="B7" s="20" t="n">
        <x:v>2</x:v>
      </x:c>
      <x:c r="C7" s="22" t="n">
        <x:v>621.26</x:v>
      </x:c>
      <x:c r="D7" s="20" t="str">
        <x:v>DigiKey Marketplace / Pololu</x:v>
      </x:c>
      <x:c r="E7" s="20" t="str">
        <x:v>2183-4743-ND / Pololu 4743</x:v>
      </x:c>
      <x:c r="F7" s="20" t="str">
        <x:v>https://www.digikey.com/en/products/detail/pololu/4743/10450200</x:v>
      </x:c>
      <x:c r="G7" s="22" t="n">
        <x:f>IF(ISNUMBER(C7),B7*C7,"TBD")</x:f>
        <x:v>1242.52</x:v>
      </x:c>
      <x:c r="H7" s="20" t="str">
        <x:v>Candidate</x:v>
      </x:c>
      <x:c r="I7" s="20" t="str">
        <x:v>12V brushed gearmotor, 200RPM, 6mm shaft. Pololu specifies 5.5A extrapolated stall current per motor; shipping/import costs not included in unit price conversion.</x:v>
      </x:c>
    </x:row>
    <x:row r="8">
      <x:c r="A8" s="20" t="str">
        <x:v>BMT all-terrain chrome wheels (pair of 2)</x:v>
      </x:c>
      <x:c r="B8" s="20" t="n">
        <x:v>1</x:v>
      </x:c>
      <x:c r="C8" s="22" t="n">
        <x:v>239</x:v>
      </x:c>
      <x:c r="D8" s="20" t="str">
        <x:v>Communica</x:v>
      </x:c>
      <x:c r="E8" s="20" t="str">
        <x:v>BMT WHEELS X2 ALL TERRAIN CHROME</x:v>
      </x:c>
      <x:c r="F8" s="20" t="str">
        <x:v>https://www.communica.co.za/products/bmt-wheels-x2-all-terrain-chrome</x:v>
      </x:c>
      <x:c r="G8" s="22" t="n">
        <x:f>IF(ISNUMBER(C8),B8*C8,"TBD")</x:f>
        <x:v>239</x:v>
      </x:c>
      <x:c r="H8" s="20" t="str">
        <x:v>Candidate</x:v>
      </x:c>
      <x:c r="I8" s="20" t="str">
        <x:v>Pair of 125mm x 58mm wheels with fittings for 6mm shafts; matches selected motor shaft diameter.</x:v>
      </x:c>
    </x:row>
    <x:row r="9">
      <x:c r="A9" s="20" t="str">
        <x:v>Drive motor controller / ESC</x:v>
      </x:c>
      <x:c r="B9" s="20" t="n">
        <x:v>1</x:v>
      </x:c>
      <x:c r="C9" s="22" t="n">
        <x:v>1099.95</x:v>
      </x:c>
      <x:c r="D9" s="20" t="str">
        <x:v>Jix Hobbies</x:v>
      </x:c>
      <x:c r="E9" s="20" t="str">
        <x:v>6938994413138</x:v>
      </x:c>
      <x:c r="F9" s="20" t="str">
        <x:v>https://jixhobbies.co.za/collections/r-c-electronics-accs/products/hw30120301</x:v>
      </x:c>
      <x:c r="G9" s="22" t="n">
        <x:f>IF(ISNUMBER(C9),B9*C9,"TBD")</x:f>
        <x:v>1099.95</x:v>
      </x:c>
      <x:c r="H9" s="20" t="str">
        <x:v>Candidate</x:v>
      </x:c>
      <x:c r="I9" s="20" t="str">
        <x:v>HobbyWing QuicRun WP 880 dual brushed ESC; 80A continuous, 2-4S LiPo. Compatibility must be validated with final motors.</x:v>
      </x:c>
    </x:row>
    <x:row r="10">
      <x:c r="A10" s="20" t="str">
        <x:v>2.4 GHz RC transmitter + receiver</x:v>
      </x:c>
      <x:c r="B10" s="20" t="n">
        <x:v>1</x:v>
      </x:c>
      <x:c r="C10" s="22" t="n">
        <x:v>1395</x:v>
      </x:c>
      <x:c r="D10" s="20" t="str">
        <x:v>The Flite Lab</x:v>
      </x:c>
      <x:c r="E10" s="20" t="str">
        <x:v>Flysky-FS-i6X</x:v>
      </x:c>
      <x:c r="F10" s="20" t="str">
        <x:v>https://theflitelab.co.za/air-transmitters/17-flysky-fs-i6x-transmitter-and-receiver-6901111470611.html</x:v>
      </x:c>
      <x:c r="G10" s="22" t="n">
        <x:f>IF(ISNUMBER(C10),B10*C10,"TBD")</x:f>
        <x:v>1395</x:v>
      </x:c>
      <x:c r="H10" s="20" t="str">
        <x:v>Candidate</x:v>
      </x:c>
      <x:c r="I10" s="20" t="str">
        <x:v>FlySky FS-i6X + X6B receiver; 2.405-2.475 GHz AFHDS 2A. Meets 2.4 GHz category requirement.</x:v>
      </x:c>
    </x:row>
    <x:row r="11">
      <x:c r="A11" s="20" t="str">
        <x:v>BEAT LiPo 5000mAh 11.1V 3S 100C (XT60)</x:v>
      </x:c>
      <x:c r="B11" s="20" t="n">
        <x:v>1</x:v>
      </x:c>
      <x:c r="C11" s="22" t="n">
        <x:v>950</x:v>
      </x:c>
      <x:c r="D11" s="20" t="str">
        <x:v>Scale RC</x:v>
      </x:c>
      <x:c r="E11" s="20" t="str">
        <x:v>Supplier SKU not shown</x:v>
      </x:c>
      <x:c r="F11" s="20" t="str">
        <x:v>https://scalerc.co.za/products/beat-lipo-5000mah-11-1v-3s-100c-lipo-battery-xt60-connector</x:v>
      </x:c>
      <x:c r="G11" s="22" t="n">
        <x:f>IF(ISNUMBER(C11),B11*C11,"TBD")</x:f>
        <x:v>950</x:v>
      </x:c>
      <x:c r="H11" s="20" t="str">
        <x:v>Candidate</x:v>
      </x:c>
      <x:c r="I11" s="20" t="str">
        <x:v>3S 11.1V selected to better match the 12V drive motors. Final battery suitability and runtime must be verified physically.</x:v>
      </x:c>
    </x:row>
    <x:row r="12">
      <x:c r="A12" s="20" t="str">
        <x:v>Drive/control branch fuse - 30A blade (provisional)</x:v>
      </x:c>
      <x:c r="B12" s="20" t="n">
        <x:v>1</x:v>
      </x:c>
      <x:c r="C12" s="22" t="n">
        <x:v>3.28</x:v>
      </x:c>
      <x:c r="D12" s="20" t="str">
        <x:v>Communica</x:v>
      </x:c>
      <x:c r="E12" s="20" t="str">
        <x:v>30A BLADE FUSE</x:v>
      </x:c>
      <x:c r="F12" s="20" t="str">
        <x:v>https://www.communica.co.za/products/30a-blade-fuse</x:v>
      </x:c>
      <x:c r="G12" s="22" t="n">
        <x:f>IF(ISNUMBER(C12),B12*C12,"TBD")</x:f>
        <x:v>3.28</x:v>
      </x:c>
      <x:c r="H12" s="20" t="str">
        <x:v>Candidate</x:v>
      </x:c>
      <x:c r="I12" s="20" t="str">
        <x:v>30A 32V automotive blade fuse. Treated as a provisional drive/control branch fuse; final main-system fuse remains dependent on active-mechanism current.</x:v>
      </x:c>
    </x:row>
    <x:row r="13">
      <x:c r="A13" s="20" t="str">
        <x:v>Fuse holder</x:v>
      </x:c>
      <x:c r="B13" s="20" t="n">
        <x:v>1</x:v>
      </x:c>
      <x:c r="C13" s="22" t="n">
        <x:v>28.75</x:v>
      </x:c>
      <x:c r="D13" s="20" t="str">
        <x:v>Communica</x:v>
      </x:c>
      <x:c r="E13" s="20" t="str">
        <x:v>CQ211K MOD</x:v>
      </x:c>
      <x:c r="F13" s="20" t="str">
        <x:v>https://www.communica.co.za/products/cq211k-mod</x:v>
      </x:c>
      <x:c r="G13" s="22" t="n">
        <x:f>IF(ISNUMBER(C13),B13*C13,"TBD")</x:f>
        <x:v>28.75</x:v>
      </x:c>
      <x:c r="H13" s="20" t="str">
        <x:v>Candidate</x:v>
      </x:c>
      <x:c r="I13" s="20" t="str">
        <x:v>30A 32V blade fuse holder. Final fuse/current rating depends on measured load.</x:v>
      </x:c>
    </x:row>
    <x:row r="14">
      <x:c r="A14" s="20" t="str">
        <x:v>Main ON/OFF battery isolator switch - 12V 100A</x:v>
      </x:c>
      <x:c r="B14" s="20" t="n">
        <x:v>1</x:v>
      </x:c>
      <x:c r="C14" s="22" t="n">
        <x:v>120.7</x:v>
      </x:c>
      <x:c r="D14" s="20" t="str">
        <x:v>AutoMarine</x:v>
      </x:c>
      <x:c r="E14" s="20" t="str">
        <x:v>Supplier code not shown</x:v>
      </x:c>
      <x:c r="F14" s="20" t="str">
        <x:v>https://www.automarine.co.za/battery-isolator-switches/5545-battery-isolator-switch-12-volt-100-amp.html</x:v>
      </x:c>
      <x:c r="G14" s="22" t="n">
        <x:f>IF(ISNUMBER(C14),B14*C14,"TBD")</x:f>
        <x:v>120.7</x:v>
      </x:c>
      <x:c r="H14" s="20" t="str">
        <x:v>Candidate</x:v>
      </x:c>
      <x:c r="I14" s="20" t="str">
        <x:v>Accessible manual power isolation switch. Listed as 12V 100A. Physical mounting and actual continuous-load suitability must be verified.</x:v>
      </x:c>
    </x:row>
    <x:row r="15">
      <x:c r="A15" s="20" t="str">
        <x:v>Emergency Stop (E-Stop)</x:v>
      </x:c>
      <x:c r="B15" s="20" t="n">
        <x:v>1</x:v>
      </x:c>
      <x:c r="C15" s="22" t="n">
        <x:v>322</x:v>
      </x:c>
      <x:c r="D15" s="20" t="str">
        <x:v>Communica</x:v>
      </x:c>
      <x:c r="E15" s="20" t="str">
        <x:v>PBME25TRP-L12-65</x:v>
      </x:c>
      <x:c r="F15" s="20" t="str">
        <x:v>https://www.communica.co.za/products/pbme25trp-l12-65</x:v>
      </x:c>
      <x:c r="G15" s="22" t="n">
        <x:f>IF(ISNUMBER(C15),B15*C15,"TBD")</x:f>
        <x:v>322</x:v>
      </x:c>
      <x:c r="H15" s="20" t="str">
        <x:v>Candidate</x:v>
      </x:c>
      <x:c r="I15" s="20" t="str">
        <x:v>25mm rotary-release emergency pushbutton, 1 N/O-N/C, 12V LED, IP65. Do not assume contacts directly interrupt full traction/weapon current.</x:v>
      </x:c>
    </x:row>
    <x:row r="16">
      <x:c r="A16" s="20" t="str">
        <x:v>Power distribution / terminal block</x:v>
      </x:c>
      <x:c r="B16" s="20" t="n">
        <x:v>1</x:v>
      </x:c>
      <x:c r="C16" s="22"/>
      <x:c r="D16" s="20" t="str">
        <x:v>TBD</x:v>
      </x:c>
      <x:c r="E16" s="20" t="str">
        <x:v>TBD</x:v>
      </x:c>
      <x:c r="F16" s="20" t="str">
        <x:v>TBD</x:v>
      </x:c>
      <x:c r="G16" s="22" t="str">
        <x:f>IF(ISNUMBER(C16),B16*C16,"TBD")</x:f>
        <x:v>TBD</x:v>
      </x:c>
      <x:c r="H16" s="20" t="str">
        <x:v>TBD</x:v>
      </x:c>
      <x:c r="I16" s="20" t="str">
        <x:v>Distributes battery power to subsystems</x:v>
      </x:c>
    </x:row>
    <x:row r="17">
      <x:c r="A17" s="20" t="str">
        <x:v>Power connectors</x:v>
      </x:c>
      <x:c r="B17" s="20" t="n">
        <x:v>1</x:v>
      </x:c>
      <x:c r="C17" s="22" t="n">
        <x:v>26.45</x:v>
      </x:c>
      <x:c r="D17" s="20" t="str">
        <x:v>Micro Robotics</x:v>
      </x:c>
      <x:c r="E17" s="20" t="str">
        <x:v>XT60-KIT</x:v>
      </x:c>
      <x:c r="F17" s="20" t="str">
        <x:v>https://www.robotics.org.za/connectors/connectors-battery/XT60-KIT</x:v>
      </x:c>
      <x:c r="G17" s="22" t="n">
        <x:f>IF(ISNUMBER(C17),B17*C17,"TBD")</x:f>
        <x:v>26.45</x:v>
      </x:c>
      <x:c r="H17" s="20" t="str">
        <x:v>Candidate</x:v>
      </x:c>
      <x:c r="I17" s="20" t="str">
        <x:v>XT60 male/female pair; 30A rated / 60A momentary per supplier listing. Final connector rating must match measured current.</x:v>
      </x:c>
    </x:row>
    <x:row r="18">
      <x:c r="A18" s="20" t="str">
        <x:v>Electrical wiring set</x:v>
      </x:c>
      <x:c r="B18" s="20" t="n">
        <x:v>1</x:v>
      </x:c>
      <x:c r="C18" s="22"/>
      <x:c r="D18" s="20" t="str">
        <x:v>TBD</x:v>
      </x:c>
      <x:c r="E18" s="20" t="str">
        <x:v>TBD</x:v>
      </x:c>
      <x:c r="F18" s="20" t="str">
        <x:v>TBD</x:v>
      </x:c>
      <x:c r="G18" s="22" t="str">
        <x:f>IF(ISNUMBER(C18),B18*C18,"TBD")</x:f>
        <x:v>TBD</x:v>
      </x:c>
      <x:c r="H18" s="20" t="str">
        <x:v>TBD</x:v>
      </x:c>
      <x:c r="I18" s="20" t="str">
        <x:v>Wire gauge to be selected from current requirements</x:v>
      </x:c>
    </x:row>
    <x:row r="19">
      <x:c r="A19" s="20" t="str">
        <x:v>Bearings</x:v>
      </x:c>
      <x:c r="B19" s="20" t="n">
        <x:v>1</x:v>
      </x:c>
      <x:c r="C19" s="22"/>
      <x:c r="D19" s="20" t="str">
        <x:v>TBD</x:v>
      </x:c>
      <x:c r="E19" s="20" t="str">
        <x:v>TBD</x:v>
      </x:c>
      <x:c r="F19" s="20" t="str">
        <x:v>TBD</x:v>
      </x:c>
      <x:c r="G19" s="22" t="str">
        <x:f>IF(ISNUMBER(C19),B19*C19,"TBD")</x:f>
        <x:v>TBD</x:v>
      </x:c>
      <x:c r="H19" s="20" t="str">
        <x:v>TBD</x:v>
      </x:c>
      <x:c r="I19" s="20" t="str">
        <x:v>Quantity/spec depends on final mechanical assembly</x:v>
      </x:c>
    </x:row>
    <x:row r="20">
      <x:c r="A20" s="20" t="str">
        <x:v>Shafts / axles</x:v>
      </x:c>
      <x:c r="B20" s="20" t="n">
        <x:v>1</x:v>
      </x:c>
      <x:c r="C20" s="22"/>
      <x:c r="D20" s="20" t="str">
        <x:v>TBD</x:v>
      </x:c>
      <x:c r="E20" s="20" t="str">
        <x:v>TBD</x:v>
      </x:c>
      <x:c r="F20" s="20" t="str">
        <x:v>TBD</x:v>
      </x:c>
      <x:c r="G20" s="22" t="str">
        <x:f>IF(ISNUMBER(C20),B20*C20,"TBD")</x:f>
        <x:v>TBD</x:v>
      </x:c>
      <x:c r="H20" s="20" t="str">
        <x:v>TBD</x:v>
      </x:c>
      <x:c r="I20" s="20" t="str">
        <x:v>Diameter/material TBD</x:v>
      </x:c>
    </x:row>
    <x:row r="21">
      <x:c r="A21" s="20" t="str">
        <x:v>Fasteners and spacers</x:v>
      </x:c>
      <x:c r="B21" s="20" t="n">
        <x:v>1</x:v>
      </x:c>
      <x:c r="C21" s="22"/>
      <x:c r="D21" s="20" t="str">
        <x:v>TBD</x:v>
      </x:c>
      <x:c r="E21" s="20" t="str">
        <x:v>TBD</x:v>
      </x:c>
      <x:c r="F21" s="20" t="str">
        <x:v>TBD</x:v>
      </x:c>
      <x:c r="G21" s="22" t="str">
        <x:f>IF(ISNUMBER(C21),B21*C21,"TBD")</x:f>
        <x:v>TBD</x:v>
      </x:c>
      <x:c r="H21" s="20" t="str">
        <x:v>TBD</x:v>
      </x:c>
      <x:c r="I21" s="20" t="str">
        <x:v>Bolts, nuts, washers, standoffs</x:v>
      </x:c>
    </x:row>
    <x:row r="22">
      <x:c r="A22" s="20" t="str">
        <x:v>Guarded active-mechanism motor + controller</x:v>
      </x:c>
      <x:c r="B22" s="20" t="n">
        <x:v>1</x:v>
      </x:c>
      <x:c r="C22" s="22"/>
      <x:c r="D22" s="20" t="str">
        <x:v>TBD</x:v>
      </x:c>
      <x:c r="E22" s="20" t="str">
        <x:v>TBD</x:v>
      </x:c>
      <x:c r="F22" s="20" t="str">
        <x:v>TBD</x:v>
      </x:c>
      <x:c r="G22" s="22" t="str">
        <x:f>IF(ISNUMBER(C22),B22*C22,"TBD")</x:f>
        <x:v>TBD</x:v>
      </x:c>
      <x:c r="H22" s="20" t="str">
        <x:v>TBD</x:v>
      </x:c>
      <x:c r="I22" s="20" t="str">
        <x:v>Final selection subject to safety and mass limits</x:v>
      </x:c>
    </x:row>
    <x:row r="23">
      <x:c r="A23" t="str">
        <x:v>E-Stop high-current power relay / contactor</x:v>
      </x:c>
      <x:c r="B23" t="n">
        <x:v>1</x:v>
      </x:c>
      <x:c r="C23" t="n">
        <x:v>75</x:v>
      </x:c>
      <x:c r="D23" t="str">
        <x:v>GeeWiz</x:v>
      </x:c>
      <x:c r="E23" t="str">
        <x:v>AC-ALB-80 12VDC</x:v>
      </x:c>
      <x:c r="F23" t="str">
        <x:v>https://www.geewiz.co.za/wiring-accessories/633449-automotive-relay-80a-1co.html</x:v>
      </x:c>
      <x:c r="G23" t="n">
        <x:f>IF(ISNUMBER(C23),B23*C23,"TBD")</x:f>
        <x:v>75</x:v>
      </x:c>
      <x:c r="H23" t="str">
        <x:v>Candidate</x:v>
      </x:c>
      <x:c r="I23" t="str">
        <x:v>12V 80A automotive relay candidate controlled by the E-Stop pushbutton so the pushbutton does not carry full actuator current. Final rating must be validated after active-mechanism selection.</x:v>
      </x:c>
    </x:row>
    <x:row r="24">
      <x:c r="A24" s="53" t="str">
        <x:v>FINAL TOTAL COST</x:v>
      </x:c>
      <x:c r="B24" s="54"/>
      <x:c r="C24" s="54"/>
      <x:c r="D24" s="54"/>
      <x:c r="E24" s="54"/>
      <x:c r="F24" s="54"/>
      <x:c r="G24" s="53" t="str">
        <x:f>IF(COUNT(C5:C23)&lt;19,"TBD",SUM(G5:G23))</x:f>
        <x:v>TBD</x:v>
      </x:c>
      <x:c r="H24" s="54" t="str">
        <x:v>Submission Requirement</x:v>
      </x:c>
      <x:c r="I24" s="54" t="str">
        <x:v>Must be fully populated before final submission</x:v>
      </x:c>
    </x:row>
    <x:row r="25">
      <x:c r="A25" s="51" t="str">
        <x:v>VERIFIED CANDIDATE SUBTOTAL (priced rows only)</x:v>
      </x:c>
      <x:c r="B25" s="51"/>
      <x:c r="C25" s="51"/>
      <x:c r="D25" s="51"/>
      <x:c r="E25" s="51"/>
      <x:c r="F25" s="51"/>
      <x:c r="G25" s="52" t="n">
        <x:f>SUMPRODUCT(B5:B23,C5:C23)</x:f>
        <x:v>5502.65</x:v>
      </x:c>
    </x:row>
    <x:row r="27">
      <x:c r="A27" t="str">
        <x:v>Verified/Priced Rows</x:v>
      </x:c>
      <x:c r="B27" t="str">
        <x:v>Total BOM Rows</x:v>
      </x:c>
      <x:c r="C27" t="str">
        <x:v>Completion</x:v>
      </x:c>
    </x:row>
    <x:row r="28">
      <x:c r="A28" t="n">
        <x:f>COUNT(C5:C22)</x:f>
        <x:v>10</x:v>
      </x:c>
      <x:c r="B28" t="n">
        <x:v>18</x:v>
      </x:c>
      <x:c r="C28" s="24" t="n">
        <x:f>A28/B28</x:f>
        <x:v>0.5555555555555556</x:v>
      </x:c>
    </x:row>
    <x:row r="31" ht="42" customHeight="1">
      <x:c r="A31" s="39" t="str">
        <x:v>IMPORTANT: No components are marked as owned. Replace every TBD with a verified supplier, stock code, price and direct purchase URL before submission. Do not claim the 4.650 kg engineering mass budget as a measured physical mass.</x:v>
      </x:c>
      <x:c r="B31" s="39"/>
      <x:c r="C31" s="39"/>
      <x:c r="D31" s="39"/>
      <x:c r="E31" s="39"/>
      <x:c r="F31" s="39"/>
      <x:c r="G31" s="39"/>
      <x:c r="H31" s="39"/>
      <x:c r="I31" s="39"/>
    </x:row>
  </x:sheetData>
  <x:mergeCells>
    <x:mergeCell ref="A1:I1"/>
    <x:mergeCell ref="A24:F24"/>
    <x:mergeCell ref="A31:I31"/>
    <x:mergeCell ref="A25:F25"/>
  </x:mergeCells>
  <x:conditionalFormatting sqref="H5:H22">
    <x:cfRule type="expression" dxfId="0" priority="1">
      <x:formula>H5="TBD"</x:formula>
    </x:cfRule>
    <x:cfRule type="expression" dxfId="1" priority="2">
      <x:formula>H5="Verified"</x:formula>
    </x:cfRule>
  </x:conditionalFormatting>
  <x:conditionalFormatting sqref="H23:H23">
    <x:cfRule type="expression" dxfId="5" priority="3">
      <x:formula>H23="TBD"</x:formula>
    </x:cfRule>
    <x:cfRule type="expression" dxfId="6" priority="4">
      <x:formula>H23="Verified"</x:formula>
    </x:cfRule>
  </x:conditionalFormatting>
  <x:dataValidations count="2">
    <x:dataValidation type="list" sqref="H5:H22">
      <x:formula1>"TBD,Candidate,Verified,Purchased"</x:formula1>
    </x:dataValidation>
    <x:dataValidation type="list" sqref="H23">
      <x:formula1>"TBD,Candidate,Verified,Purchased"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6" hidden="0" customWidth="1"/>
    <x:col min="4" max="4" width="38" hidden="0" customWidth="1"/>
  </x:cols>
  <x:sheetData>
    <x:row r="1">
      <x:c r="A1" s="45" t="str">
        <x:v>BOM Submission Checklist</x:v>
      </x:c>
      <x:c r="B1" s="45"/>
      <x:c r="C1" s="45"/>
      <x:c r="D1" s="45"/>
    </x:row>
    <x:row r="3">
      <x:c r="A3" s="13" t="str">
        <x:v>Requirement</x:v>
      </x:c>
      <x:c r="B3" s="13" t="str">
        <x:v>Current State</x:v>
      </x:c>
      <x:c r="C3" s="13" t="str">
        <x:v>Required for Full Marks</x:v>
      </x:c>
      <x:c r="D3" s="13" t="str">
        <x:v>Action</x:v>
      </x:c>
    </x:row>
    <x:row r="4">
      <x:c r="A4" s="20" t="str">
        <x:v>Component Name</x:v>
      </x:c>
      <x:c r="B4" s="20" t="str">
        <x:v>Populated</x:v>
      </x:c>
      <x:c r="C4" s="20" t="str">
        <x:v>Every BOM line identified</x:v>
      </x:c>
      <x:c r="D4" s="20" t="str">
        <x:v>Review final component list</x:v>
      </x:c>
    </x:row>
    <x:row r="5">
      <x:c r="A5" s="20" t="str">
        <x:v>Quantity</x:v>
      </x:c>
      <x:c r="B5" s="20" t="str">
        <x:v>Populated</x:v>
      </x:c>
      <x:c r="C5" s="20" t="str">
        <x:v>Exact quantity for every item</x:v>
      </x:c>
      <x:c r="D5" s="20" t="str">
        <x:v>Adjust quantities after hardware selection</x:v>
      </x:c>
    </x:row>
    <x:row r="6">
      <x:c r="A6" s="20" t="str">
        <x:v>Cost per Unit</x:v>
      </x:c>
      <x:c r="B6" s="20" t="str">
        <x:v>TBD</x:v>
      </x:c>
      <x:c r="C6" s="20" t="str">
        <x:v>Current verified unit price</x:v>
      </x:c>
      <x:c r="D6" s="20" t="str">
        <x:v>Fill from supplier</x:v>
      </x:c>
    </x:row>
    <x:row r="7">
      <x:c r="A7" s="20" t="str">
        <x:v>Supplier Name</x:v>
      </x:c>
      <x:c r="B7" s="20" t="str">
        <x:v>TBD</x:v>
      </x:c>
      <x:c r="C7" s="20" t="str">
        <x:v>Actual supplier</x:v>
      </x:c>
      <x:c r="D7" s="20" t="str">
        <x:v>Fill from supplier</x:v>
      </x:c>
    </x:row>
    <x:row r="8">
      <x:c r="A8" s="20" t="str">
        <x:v>Supplier Stock Code</x:v>
      </x:c>
      <x:c r="B8" s="20" t="str">
        <x:v>TBD</x:v>
      </x:c>
      <x:c r="C8" s="20" t="str">
        <x:v>Exact product/stock code</x:v>
      </x:c>
      <x:c r="D8" s="20" t="str">
        <x:v>Fill from supplier</x:v>
      </x:c>
    </x:row>
    <x:row r="9">
      <x:c r="A9" s="20" t="str">
        <x:v>Direct Purchase URL</x:v>
      </x:c>
      <x:c r="B9" s="20" t="str">
        <x:v>TBD</x:v>
      </x:c>
      <x:c r="C9" s="20" t="str">
        <x:v>Clickable direct product URL</x:v>
      </x:c>
      <x:c r="D9" s="20" t="str">
        <x:v>Fill from supplier</x:v>
      </x:c>
    </x:row>
    <x:row r="10">
      <x:c r="A10" s="20" t="str">
        <x:v>Total Cost per Row</x:v>
      </x:c>
      <x:c r="B10" s="20" t="str">
        <x:v>Formula ready</x:v>
      </x:c>
      <x:c r="C10" s="20" t="str">
        <x:v>Quantity × unit cost</x:v>
      </x:c>
      <x:c r="D10" s="20" t="str">
        <x:v>Auto-calculates after prices entered</x:v>
      </x:c>
    </x:row>
    <x:row r="11">
      <x:c r="A11" s="20" t="str">
        <x:v>Final Total Cost</x:v>
      </x:c>
      <x:c r="B11" s="20" t="str">
        <x:v>Formula ready</x:v>
      </x:c>
      <x:c r="C11" s="20" t="str">
        <x:v>Final total highlighted/written in RED</x:v>
      </x:c>
      <x:c r="D11" s="20" t="str">
        <x:v>Auto-calculates when all prices are entered</x:v>
      </x:c>
    </x:row>
    <x:row r="12">
      <x:c r="A12" s="20" t="str">
        <x:v>Physical Mass</x:v>
      </x:c>
      <x:c r="B12" s="20" t="str">
        <x:v>Not measured</x:v>
      </x:c>
      <x:c r="C12" s="20" t="str">
        <x:v>Physical robot strictly below 5 kg</x:v>
      </x:c>
      <x:c r="D12" s="20" t="str">
        <x:v>Verify on calibrated scale after build</x:v>
      </x:c>
    </x:row>
  </x:sheetData>
  <x:mergeCells>
    <x:mergeCell ref="A1:D1"/>
  </x:mergeCells>
  <x:conditionalFormatting sqref="B4:B12">
    <x:cfRule type="expression" dxfId="2" priority="1">
      <x:formula>B4="TBD"</x:formula>
    </x:cfRule>
    <x:cfRule type="expression" dxfId="3" priority="2">
      <x:formula>B4="Populated"</x:formula>
    </x:cfRule>
    <x:cfRule type="expression" dxfId="4" priority="3">
      <x:formula>B4="Formula ready"</x:formula>
    </x:cfRule>
  </x:conditionalFormatting>
  <x:pageMargins left="0.7" right="0.7" top="0.75" bottom="0.75" header="0.3" footer="0.3"/>
</x:worksheet>
</file>